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Relationship Type="http://schemas.openxmlformats.org/officeDocument/2006/relationships/custom-properties" Target="docProps/custom.xml" Id="R3f1c9a7e2b5d4086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gistros" sheetId="2" state="visible" r:id="rId4"/>
    <sheet name="Ejemplo" sheetId="3" state="visible" r:id="rId5"/>
    <sheet name="Catalogos" sheetId="4" state="visible" r:id="rId6"/>
  </sheets>
  <definedNames>
    <definedName function="false" hidden="false" localSheetId="1" name="_xlnm.Print_Area" vbProcedure="false">Registros!$A$1:$P$501</definedName>
    <definedName function="false" hidden="false" localSheetId="1" name="_xlnm.Print_Titles" vbProcedure="false">Registros!$1:$1</definedName>
    <definedName function="false" hidden="true" localSheetId="1" name="_xlnm._FilterDatabase" vbProcedure="false">Registros!$A$1:$P$501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Plantilla Mtabolic</author>
  </authors>
  <commentList>
    <comment ref="A1" authorId="0">
      <text>
        <r>
          <rPr>
            <sz val="10"/>
            <rFont val="Arial"/>
            <family val="2"/>
          </rPr>
          <t xml:space="preserve">Elegir de la lista. Sirve para distinguir una renovación de un congelamiento o un reingreso.</t>
        </r>
      </text>
    </comment>
    <comment ref="B1" authorId="0">
      <text>
        <r>
          <rPr>
            <sz val="10"/>
            <rFont val="Arial"/>
            <family val="2"/>
          </rPr>
          <t xml:space="preserve">Nombre completo del socio, tal como consta en la cédula.</t>
        </r>
      </text>
    </comment>
    <comment ref="C1" authorId="0">
      <text>
        <r>
          <rPr>
            <sz val="10"/>
            <rFont val="Arial"/>
            <family val="2"/>
          </rPr>
          <t xml:space="preserve">Diez dígitos, sin puntos ni guiones. Es lo que permite reconocer a la misma persona entre un mes y otro.</t>
        </r>
      </text>
    </comment>
    <comment ref="D1" authorId="0">
      <text>
        <r>
          <rPr>
            <sz val="10"/>
            <rFont val="Arial"/>
            <family val="2"/>
          </rPr>
          <t xml:space="preserve">Solo para contactar al socio.</t>
        </r>
      </text>
    </comment>
    <comment ref="E1" authorId="0">
      <text>
        <r>
          <rPr>
            <sz val="10"/>
            <rFont val="Arial"/>
            <family val="2"/>
          </rPr>
          <t xml:space="preserve">Solo para contactar al socio.</t>
        </r>
      </text>
    </comment>
    <comment ref="F1" authorId="0">
      <text>
        <r>
          <rPr>
            <sz val="10"/>
            <rFont val="Arial"/>
            <family val="2"/>
          </rPr>
          <t xml:space="preserve">Elegir de la lista. Si el plan es una promoción, elegir la duración que corresponde (una promo de 3 meses es TRIMESTRAL).</t>
        </r>
      </text>
    </comment>
    <comment ref="G1" authorId="0">
      <text>
        <r>
          <rPr>
            <sz val="10"/>
            <rFont val="Arial"/>
            <family val="2"/>
          </rPr>
          <t xml:space="preserve">Día en que empieza a correr la membresía.</t>
        </r>
      </text>
    </comment>
    <comment ref="H1" authorId="0">
      <text>
        <r>
          <rPr>
            <sz val="10"/>
            <rFont val="Arial"/>
            <family val="2"/>
          </rPr>
          <t xml:space="preserve">Día en que termina la membresía. Es el dato más importante del archivo: sin él, el socio no puede entrar en ninguna lista.</t>
        </r>
      </text>
    </comment>
    <comment ref="I1" authorId="0">
      <text>
        <r>
          <rPr>
            <sz val="10"/>
            <rFont val="Arial"/>
            <family val="2"/>
          </rPr>
          <t xml:space="preserve">Elegir de la lista. No escribir aquí el nombre del banco.</t>
        </r>
      </text>
    </comment>
    <comment ref="J1" authorId="0">
      <text>
        <r>
          <rPr>
            <sz val="10"/>
            <rFont val="Arial"/>
            <family val="2"/>
          </rPr>
          <t xml:space="preserve">Número del comprobante o de la transferencia.</t>
        </r>
      </text>
    </comment>
    <comment ref="K1" authorId="0">
      <text>
        <r>
          <rPr>
            <sz val="10"/>
            <rFont val="Arial"/>
            <family val="2"/>
          </rPr>
          <t xml:space="preserve">Valor antes de descuentos.</t>
        </r>
      </text>
    </comment>
    <comment ref="L1" authorId="0">
      <text>
        <r>
          <rPr>
            <sz val="10"/>
            <rFont val="Arial"/>
            <family val="2"/>
          </rPr>
          <t xml:space="preserve">Valor que efectivamente pagó el socio.</t>
        </r>
      </text>
    </comment>
    <comment ref="M1" authorId="0">
      <text>
        <r>
          <rPr>
            <sz val="10"/>
            <rFont val="Arial"/>
            <family val="2"/>
          </rPr>
          <t xml:space="preserve">Cuántas veces entró el socio al gimnasio durante esta membresía. Se puede sacar del sistema biométrico. Opcional, pero muy valioso.</t>
        </r>
      </text>
    </comment>
    <comment ref="N1" authorId="0">
      <text>
        <r>
          <rPr>
            <sz val="10"/>
            <rFont val="Arial"/>
            <family val="2"/>
          </rPr>
          <t xml:space="preserve">Cualquier aclaración del caso.</t>
        </r>
      </text>
    </comment>
    <comment ref="O1" authorId="0">
      <text>
        <r>
          <rPr>
            <sz val="10"/>
            <rFont val="Arial"/>
            <family val="2"/>
          </rPr>
          <t xml:space="preserve">Se calcula solo: fecha de vencimiento menos fecha de inicio.</t>
        </r>
      </text>
    </comment>
    <comment ref="P1" authorId="0">
      <text>
        <r>
          <rPr>
            <sz val="10"/>
            <rFont val="Arial"/>
            <family val="2"/>
          </rPr>
          <t xml:space="preserve">Se calcula solo. Debe decir OK antes de enviar el archivo.</t>
        </r>
      </text>
    </comment>
  </commentList>
</comments>
</file>

<file path=xl/sharedStrings.xml><?xml version="1.0" encoding="utf-8"?>
<sst xmlns="http://schemas.openxmlformats.org/spreadsheetml/2006/main" count="150" uniqueCount="112">
  <si>
    <t xml:space="preserve">MTABOLIC · PLANTILLA OFICIAL DE CARGA DE DATOS</t>
  </si>
  <si>
    <t xml:space="preserve">Formato único para entregar la información de membresías al sistema de estimación de riesgo de no renovación</t>
  </si>
  <si>
    <t xml:space="preserve">¿Para qué sirve este archivo?</t>
  </si>
  <si>
    <t xml:space="preserve">El sistema estima, treinta días antes de que venza cada membresía, qué socios tienen más probabilidad de no renovar, y entrega una lista de contacto ordenada por riesgo. Para hacerlo necesita recibir la información siempre con la misma estructura. Este archivo es esa estructura: reemplaza a las hojas mensuales que se venían llenando a mano.</t>
  </si>
  <si>
    <t xml:space="preserve">Cómo se llena</t>
  </si>
  <si>
    <t xml:space="preserve">1</t>
  </si>
  <si>
    <t xml:space="preserve">Se escribe en la hoja «Registros». Una fila por cada membresía vendida o renovada.</t>
  </si>
  <si>
    <t xml:space="preserve">2</t>
  </si>
  <si>
    <t xml:space="preserve">No hace falta crear una hoja por mes. Todas las membresías van en la misma hoja, en el orden que sea.</t>
  </si>
  <si>
    <t xml:space="preserve">3</t>
  </si>
  <si>
    <t xml:space="preserve">No se cambian, borran ni reordenan los títulos de las columnas. El sistema los busca por su nombre exacto.</t>
  </si>
  <si>
    <t xml:space="preserve">4</t>
  </si>
  <si>
    <t xml:space="preserve">Las columnas con título rojo son obligatorias. Sin ellas el registro no se puede usar.</t>
  </si>
  <si>
    <t xml:space="preserve">5</t>
  </si>
  <si>
    <t xml:space="preserve">En tipo de plan, forma de pago y estado se elige de la lista que aparece al hacer clic en la celda. No se escribe texto libre: es lo que hoy genera cientos de formas distintas de escribir lo mismo.</t>
  </si>
  <si>
    <t xml:space="preserve">6</t>
  </si>
  <si>
    <t xml:space="preserve">Las fechas se escriben como fecha (por ejemplo 20/08/2026), no como texto. La fecha de vencimiento es la más importante de todo el archivo.</t>
  </si>
  <si>
    <t xml:space="preserve">7</t>
  </si>
  <si>
    <t xml:space="preserve">Las dos últimas columnas se calculan solas. No se escribe en ellas: avisan si un registro tiene algún problema.</t>
  </si>
  <si>
    <t xml:space="preserve">8</t>
  </si>
  <si>
    <t xml:space="preserve">Antes de enviar el archivo, revisar que la columna «Revisión automática» diga OK en todas las filas.</t>
  </si>
  <si>
    <t xml:space="preserve">Cómo se leen los colores</t>
  </si>
  <si>
    <t xml:space="preserve">Columna obligatoria: siempre debe tener un valor.</t>
  </si>
  <si>
    <t xml:space="preserve">Columna opcional: se llena si se tiene el dato.</t>
  </si>
  <si>
    <t xml:space="preserve">Celda para escribir.</t>
  </si>
  <si>
    <t xml:space="preserve">Columna calculada por el archivo: no escribir.</t>
  </si>
  <si>
    <t xml:space="preserve">Falta un dato obligatorio o hay algo que revisar.</t>
  </si>
  <si>
    <t xml:space="preserve">Estado del archivo</t>
  </si>
  <si>
    <t xml:space="preserve">Filas con información</t>
  </si>
  <si>
    <t xml:space="preserve">Filas correctas (OK)</t>
  </si>
  <si>
    <t xml:space="preserve">Filas que necesitan revisión</t>
  </si>
  <si>
    <t xml:space="preserve">Dos datos que hoy no se registran y que mejorarían mucho el resultado: el número de asistencias de cada socio en el período (columna M, opcional) y la marca de congelamiento o reingreso en la columna de estado. Según los estudios del sector, la asistencia es la señal que mejor anticipa el abandono, y hoy el sistema no la tiene.</t>
  </si>
  <si>
    <t xml:space="preserve">ESTADO DEL REGISTRO</t>
  </si>
  <si>
    <t xml:space="preserve">NOMBRES Y APELLIDOS</t>
  </si>
  <si>
    <t xml:space="preserve">CÉDULA</t>
  </si>
  <si>
    <t xml:space="preserve">CELULAR</t>
  </si>
  <si>
    <t xml:space="preserve">CORREO</t>
  </si>
  <si>
    <t xml:space="preserve">TIPO DE PLAN</t>
  </si>
  <si>
    <t xml:space="preserve">FECHA DE INICIO</t>
  </si>
  <si>
    <t xml:space="preserve">FECHA DE VENCIMIENTO</t>
  </si>
  <si>
    <t xml:space="preserve">FORMA DE PAGO</t>
  </si>
  <si>
    <t xml:space="preserve">N.º DE TRANSACCIÓN</t>
  </si>
  <si>
    <t xml:space="preserve">MONTO A FACTURAR (USD)</t>
  </si>
  <si>
    <t xml:space="preserve">MONTO COBRADO (USD)</t>
  </si>
  <si>
    <t xml:space="preserve">ASISTENCIAS EN EL PERÍODO</t>
  </si>
  <si>
    <t xml:space="preserve">OBSERVACIONES</t>
  </si>
  <si>
    <t xml:space="preserve">DURACIÓN (días)</t>
  </si>
  <si>
    <t xml:space="preserve">REVISIÓN AUTOMÁTICA</t>
  </si>
  <si>
    <t xml:space="preserve">EJEMPLO DE CÓMO SE VE UNA HOJA BIEN LLENADA</t>
  </si>
  <si>
    <t xml:space="preserve">Estas filas son solo de referencia. No se copian ni se envían: la información real va en la hoja «Registros».</t>
  </si>
  <si>
    <t xml:space="preserve">NUEVO</t>
  </si>
  <si>
    <t xml:space="preserve">COLLAGUAZO VALDIVIEZO DIEGO</t>
  </si>
  <si>
    <t xml:space="preserve">1724409394</t>
  </si>
  <si>
    <t xml:space="preserve">0963840533</t>
  </si>
  <si>
    <t xml:space="preserve">dalcollaguazo@gmail.com</t>
  </si>
  <si>
    <t xml:space="preserve">MENSUAL</t>
  </si>
  <si>
    <t xml:space="preserve">EFECTIVO</t>
  </si>
  <si>
    <t xml:space="preserve">RENOVACION</t>
  </si>
  <si>
    <t xml:space="preserve">HERRERA ERICK</t>
  </si>
  <si>
    <t xml:space="preserve">1750052639</t>
  </si>
  <si>
    <t xml:space="preserve">0995455880</t>
  </si>
  <si>
    <t xml:space="preserve">mrerick32220@outlook.com</t>
  </si>
  <si>
    <t xml:space="preserve">TRIMESTRAL</t>
  </si>
  <si>
    <t xml:space="preserve">TRANSFERENCIA</t>
  </si>
  <si>
    <t xml:space="preserve">45786246</t>
  </si>
  <si>
    <t xml:space="preserve">CONGELAMIENTO</t>
  </si>
  <si>
    <t xml:space="preserve">MACAS ISABEL</t>
  </si>
  <si>
    <t xml:space="preserve">1718811068</t>
  </si>
  <si>
    <t xml:space="preserve">0995777544</t>
  </si>
  <si>
    <t xml:space="preserve">isabel.macas@gmail.com</t>
  </si>
  <si>
    <t xml:space="preserve">SEMESTRAL</t>
  </si>
  <si>
    <t xml:space="preserve">TARJETA_DATAFAST</t>
  </si>
  <si>
    <t xml:space="preserve">233452468</t>
  </si>
  <si>
    <t xml:space="preserve">Congelada 15 días en julio por lesión</t>
  </si>
  <si>
    <t xml:space="preserve">Qué muestra cada fila</t>
  </si>
  <si>
    <t xml:space="preserve">Fila 1 · Un socio nuevo con plan mensual pagado en efectivo. El sistema calcula solo que la membresía dura 30 días.</t>
  </si>
  <si>
    <t xml:space="preserve">Fila 2 · Una renovación trimestral. El plan se registra como TRIMESTRAL aunque en el local se llame «promo 3 meses».</t>
  </si>
  <si>
    <t xml:space="preserve">Fila 3 · Un congelamiento. Se marca en la columna de estado y el detalle se escribe en observaciones, para que el sistema no lo confunda con un abandono.</t>
  </si>
  <si>
    <t xml:space="preserve">LISTAS PERMITIDAS</t>
  </si>
  <si>
    <t xml:space="preserve">Estos son los únicos valores que acepta el sistema. Las celdas de la hoja «Registros» los ofrecen en una lista desplegable.</t>
  </si>
  <si>
    <t xml:space="preserve">Cuándo se usa</t>
  </si>
  <si>
    <t xml:space="preserve">Duración estándar (días)</t>
  </si>
  <si>
    <t xml:space="preserve">EQUIVALENCIAS FRECUENTES</t>
  </si>
  <si>
    <t xml:space="preserve">Ejemplos reales tomados de los archivos actuales</t>
  </si>
  <si>
    <t xml:space="preserve">Membresía de un mes, incluidas las promociones de un mes.</t>
  </si>
  <si>
    <t xml:space="preserve">MENSUAL · 1 MES · PLAN MES · MENSUAL 2X1</t>
  </si>
  <si>
    <t xml:space="preserve">Tres meses. Incluye «PROMO 3 MESES» y similares.</t>
  </si>
  <si>
    <t xml:space="preserve">PROMO 3 MESES · 3 MESES · TRIMESTRAL</t>
  </si>
  <si>
    <t xml:space="preserve">Seis meses, incluidas las promociones 2x1 de seis meses.</t>
  </si>
  <si>
    <t xml:space="preserve">SEMESTRAL 2X1 · 6 MESES</t>
  </si>
  <si>
    <t xml:space="preserve">ANUAL</t>
  </si>
  <si>
    <t xml:space="preserve">Un año, incluidas las promociones anuales.</t>
  </si>
  <si>
    <t xml:space="preserve">ANUAL 2x1 · PLAN AÑO</t>
  </si>
  <si>
    <t xml:space="preserve">DIARIO</t>
  </si>
  <si>
    <t xml:space="preserve">Pase por día. No se considera membresía y no entra en las listas.</t>
  </si>
  <si>
    <t xml:space="preserve">DIARIO · PASE DIARIO</t>
  </si>
  <si>
    <t xml:space="preserve">OTRO</t>
  </si>
  <si>
    <t xml:space="preserve">Cualquier caso que no encaje en los anteriores.</t>
  </si>
  <si>
    <t xml:space="preserve">TRANS/PICHIN · transaccion Produbanco · DEPOSITO</t>
  </si>
  <si>
    <t xml:space="preserve">DATAFAST · TARJETA DE CREDITO</t>
  </si>
  <si>
    <t xml:space="preserve">Pago en efectivo.</t>
  </si>
  <si>
    <t xml:space="preserve">Importante: el campo de tipo de plan nunca debe contener una forma de pago. En los archivos actuales aparecen valores como DATAFAST o TRANSFERENCIA dentro de la columna de plan, y eso obliga a descartar el registro.</t>
  </si>
  <si>
    <t xml:space="preserve">Transferencia o depósito bancario, de cualquier banco.</t>
  </si>
  <si>
    <t xml:space="preserve">Pago con tarjeta, Datafast o similar.</t>
  </si>
  <si>
    <t xml:space="preserve">Cualquier otra forma de pago.</t>
  </si>
  <si>
    <t xml:space="preserve">El socio compra su primera membresía.</t>
  </si>
  <si>
    <t xml:space="preserve">El socio vuelve a comprar al terminar la anterior.</t>
  </si>
  <si>
    <t xml:space="preserve">La membresía se detiene temporalmente. Anotar los días en observaciones.</t>
  </si>
  <si>
    <t xml:space="preserve">REINGRESO</t>
  </si>
  <si>
    <t xml:space="preserve">El socio vuelve después de haber estado fuera un tiempo.</t>
  </si>
  <si>
    <t xml:space="preserve">BAJA</t>
  </si>
  <si>
    <t xml:space="preserve">El socio informa que no continúa.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</si>
</sst>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dd/mm/yyyy"/>
    <numFmt numFmtId="168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9B1B1B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B1B1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3"/>
      <color rgb="FF9B1B1B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B1B1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9B1B1B"/>
        <bgColor rgb="FF800000"/>
      </patternFill>
    </fill>
    <fill>
      <patternFill patternType="solid">
        <fgColor rgb="FF595959"/>
        <bgColor rgb="FF333333"/>
      </patternFill>
    </fill>
    <fill>
      <patternFill patternType="solid">
        <fgColor rgb="FFFFF7E6"/>
        <bgColor rgb="FFFFFFFF"/>
      </patternFill>
    </fill>
    <fill>
      <patternFill patternType="solid">
        <fgColor rgb="FFE4E8EF"/>
        <bgColor rgb="FFE8F3E8"/>
      </patternFill>
    </fill>
    <fill>
      <patternFill patternType="solid">
        <fgColor rgb="FFFCE9E7"/>
        <bgColor rgb="FFFFF7E6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7E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B1B1B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4E8EF"/>
          <bgColor rgb="FF000000"/>
        </patternFill>
      </fill>
    </dxf>
    <dxf>
      <fill>
        <patternFill>
          <bgColor rgb="FFFCE9E7"/>
        </patternFill>
      </fill>
    </dxf>
    <dxf>
      <fill>
        <patternFill>
          <bgColor rgb="FFE8F3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E6"/>
      <rgbColor rgb="FFE8F3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8EF"/>
      <rgbColor rgb="FFCCFFCC"/>
      <rgbColor rgb="FFFC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B1B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8"/>
    <col collapsed="false" customWidth="true" hidden="false" outlineLevel="0" max="5" min="5" style="0" width="14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57.75" hidden="false" customHeight="true" outlineLevel="0" collapsed="false">
      <c r="B6" s="4" t="s">
        <v>3</v>
      </c>
      <c r="C6" s="4"/>
      <c r="D6" s="4"/>
    </row>
    <row r="8" customFormat="false" ht="15" hidden="false" customHeight="false" outlineLevel="0" collapsed="false">
      <c r="B8" s="3" t="s">
        <v>4</v>
      </c>
    </row>
    <row r="9" customFormat="false" ht="25.5" hidden="false" customHeight="true" outlineLevel="0" collapsed="false">
      <c r="B9" s="5" t="s">
        <v>5</v>
      </c>
      <c r="C9" s="4" t="s">
        <v>6</v>
      </c>
      <c r="D9" s="4"/>
    </row>
    <row r="10" customFormat="false" ht="37.5" hidden="false" customHeight="true" outlineLevel="0" collapsed="false">
      <c r="B10" s="5" t="s">
        <v>7</v>
      </c>
      <c r="C10" s="4" t="s">
        <v>8</v>
      </c>
      <c r="D10" s="4"/>
    </row>
    <row r="11" customFormat="false" ht="37.5" hidden="false" customHeight="true" outlineLevel="0" collapsed="false">
      <c r="B11" s="5" t="s">
        <v>9</v>
      </c>
      <c r="C11" s="4" t="s">
        <v>10</v>
      </c>
      <c r="D11" s="4"/>
    </row>
    <row r="12" customFormat="false" ht="25.5" hidden="false" customHeight="true" outlineLevel="0" collapsed="false">
      <c r="B12" s="5" t="s">
        <v>11</v>
      </c>
      <c r="C12" s="4" t="s">
        <v>12</v>
      </c>
      <c r="D12" s="4"/>
    </row>
    <row r="13" customFormat="false" ht="37.5" hidden="false" customHeight="true" outlineLevel="0" collapsed="false">
      <c r="B13" s="5" t="s">
        <v>13</v>
      </c>
      <c r="C13" s="4" t="s">
        <v>14</v>
      </c>
      <c r="D13" s="4"/>
    </row>
    <row r="14" customFormat="false" ht="37.5" hidden="false" customHeight="true" outlineLevel="0" collapsed="false">
      <c r="B14" s="5" t="s">
        <v>15</v>
      </c>
      <c r="C14" s="4" t="s">
        <v>16</v>
      </c>
      <c r="D14" s="4"/>
    </row>
    <row r="15" customFormat="false" ht="37.5" hidden="false" customHeight="true" outlineLevel="0" collapsed="false">
      <c r="B15" s="5" t="s">
        <v>17</v>
      </c>
      <c r="C15" s="4" t="s">
        <v>18</v>
      </c>
      <c r="D15" s="4"/>
    </row>
    <row r="16" customFormat="false" ht="37.5" hidden="false" customHeight="true" outlineLevel="0" collapsed="false">
      <c r="B16" s="5" t="s">
        <v>19</v>
      </c>
      <c r="C16" s="4" t="s">
        <v>20</v>
      </c>
      <c r="D16" s="4"/>
    </row>
    <row r="18" customFormat="false" ht="15" hidden="false" customHeight="false" outlineLevel="0" collapsed="false">
      <c r="B18" s="3" t="s">
        <v>21</v>
      </c>
    </row>
    <row r="19" customFormat="false" ht="18" hidden="false" customHeight="true" outlineLevel="0" collapsed="false">
      <c r="B19" s="6"/>
      <c r="C19" s="7" t="s">
        <v>22</v>
      </c>
    </row>
    <row r="20" customFormat="false" ht="18" hidden="false" customHeight="true" outlineLevel="0" collapsed="false">
      <c r="B20" s="8"/>
      <c r="C20" s="7" t="s">
        <v>23</v>
      </c>
    </row>
    <row r="21" customFormat="false" ht="18" hidden="false" customHeight="true" outlineLevel="0" collapsed="false">
      <c r="B21" s="9"/>
      <c r="C21" s="7" t="s">
        <v>24</v>
      </c>
    </row>
    <row r="22" customFormat="false" ht="18" hidden="false" customHeight="true" outlineLevel="0" collapsed="false">
      <c r="B22" s="10"/>
      <c r="C22" s="7" t="s">
        <v>25</v>
      </c>
    </row>
    <row r="23" customFormat="false" ht="18" hidden="false" customHeight="true" outlineLevel="0" collapsed="false">
      <c r="B23" s="11"/>
      <c r="C23" s="7" t="s">
        <v>26</v>
      </c>
    </row>
    <row r="25" customFormat="false" ht="15" hidden="false" customHeight="false" outlineLevel="0" collapsed="false">
      <c r="B25" s="3" t="s">
        <v>27</v>
      </c>
    </row>
    <row r="26" customFormat="false" ht="15" hidden="false" customHeight="false" outlineLevel="0" collapsed="false">
      <c r="B26" s="12" t="s">
        <v>28</v>
      </c>
      <c r="C26" s="13" t="n">
        <f aca="false">COUNTA(Registros!B2:B501)</f>
        <v>0</v>
      </c>
    </row>
    <row r="27" customFormat="false" ht="15" hidden="false" customHeight="false" outlineLevel="0" collapsed="false">
      <c r="B27" s="12" t="s">
        <v>29</v>
      </c>
      <c r="C27" s="13" t="n">
        <f aca="false">COUNTIF(Registros!P2:P501,"OK")</f>
        <v>0</v>
      </c>
    </row>
    <row r="28" customFormat="false" ht="15" hidden="false" customHeight="false" outlineLevel="0" collapsed="false">
      <c r="B28" s="12" t="s">
        <v>30</v>
      </c>
      <c r="C28" s="13" t="n">
        <f aca="false">SUMPRODUCT((Registros!P2:P501&lt;&gt;"")*(Registros!P2:P501&lt;&gt;"OK"))</f>
        <v>0</v>
      </c>
    </row>
    <row r="30" customFormat="false" ht="48" hidden="false" customHeight="true" outlineLevel="0" collapsed="false">
      <c r="B30" s="14" t="s">
        <v>31</v>
      </c>
      <c r="C30" s="14"/>
      <c r="D30" s="14"/>
    </row>
  </sheetData>
  <mergeCells count="10">
    <mergeCell ref="B6:D6"/>
    <mergeCell ref="C9:D9"/>
    <mergeCell ref="C10:D10"/>
    <mergeCell ref="C11:D11"/>
    <mergeCell ref="C12:D12"/>
    <mergeCell ref="C13:D13"/>
    <mergeCell ref="C14:D14"/>
    <mergeCell ref="C15:D15"/>
    <mergeCell ref="C16:D16"/>
    <mergeCell ref="B30:D3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12" min="8" style="0" width="18"/>
    <col collapsed="false" customWidth="true" hidden="false" outlineLevel="0" max="13" min="13" style="0" width="20"/>
    <col collapsed="false" customWidth="true" hidden="false" outlineLevel="0" max="14" min="14" style="0" width="28"/>
    <col collapsed="false" customWidth="true" hidden="false" outlineLevel="0" max="15" min="15" style="0" width="14"/>
    <col collapsed="false" customWidth="true" hidden="false" outlineLevel="0" max="16" min="16" style="0" width="34"/>
  </cols>
  <sheetData>
    <row r="1" customFormat="false" ht="33.75" hidden="false" customHeight="true" outlineLevel="0" collapsed="false">
      <c r="A1" s="15" t="s">
        <v>32</v>
      </c>
      <c r="B1" s="16" t="s">
        <v>33</v>
      </c>
      <c r="C1" s="16" t="s">
        <v>34</v>
      </c>
      <c r="D1" s="15" t="s">
        <v>35</v>
      </c>
      <c r="E1" s="15" t="s">
        <v>36</v>
      </c>
      <c r="F1" s="16" t="s">
        <v>37</v>
      </c>
      <c r="G1" s="16" t="s">
        <v>38</v>
      </c>
      <c r="H1" s="16" t="s">
        <v>39</v>
      </c>
      <c r="I1" s="16" t="s">
        <v>40</v>
      </c>
      <c r="J1" s="15" t="s">
        <v>41</v>
      </c>
      <c r="K1" s="15" t="s">
        <v>42</v>
      </c>
      <c r="L1" s="16" t="s">
        <v>43</v>
      </c>
      <c r="M1" s="15" t="s">
        <v>44</v>
      </c>
      <c r="N1" s="15" t="s">
        <v>45</v>
      </c>
      <c r="O1" s="17" t="s">
        <v>46</v>
      </c>
      <c r="P1" s="17" t="s">
        <v>47</v>
      </c>
    </row>
    <row r="2" customFormat="false" ht="15" hidden="false" customHeight="false" outlineLevel="0" collapsed="false">
      <c r="A2" s="18"/>
      <c r="B2" s="19"/>
      <c r="C2" s="20"/>
      <c r="D2" s="20"/>
      <c r="E2" s="19"/>
      <c r="F2" s="18"/>
      <c r="G2" s="21"/>
      <c r="H2" s="21"/>
      <c r="I2" s="18"/>
      <c r="J2" s="22"/>
      <c r="K2" s="23"/>
      <c r="L2" s="23"/>
      <c r="M2" s="24"/>
      <c r="N2" s="19"/>
      <c r="O2" s="25" t="str">
        <f aca="false">IF(OR(G2="",H2=""),"",H2-G2)</f>
        <v/>
      </c>
      <c r="P2" s="26" t="str">
        <f aca="false">IF(COUNTA(A2:N2)=0,"",IF(B2="","Falta el nombre",IF(C2="","Falta la cédula",IF(LEN(C2)&lt;&gt;10,"La cédula debe tener 10 dígitos",IF(F2="","Falta el tipo de plan",IF(G2="","Falta la fecha de inicio",IF(H2="","Falta la fecha de vencimiento",IF(O2&lt;=0,"El vencimiento debe ser posterior al inicio",IF(AND(F2&lt;&gt;"DIARIO",O2&lt;21),"Duración muy corta: revisar fechas",IF(O2&gt;400,"Duración mayor a 400 días: revisar fechas",IF(I2="","Falta la forma de pago",IF(L2="","Falta el monto cobrado","OK"))))))))))))</f>
        <v/>
      </c>
    </row>
    <row r="3" customFormat="false" ht="15" hidden="false" customHeight="false" outlineLevel="0" collapsed="false">
      <c r="A3" s="18"/>
      <c r="B3" s="19"/>
      <c r="C3" s="20"/>
      <c r="D3" s="20"/>
      <c r="E3" s="19"/>
      <c r="F3" s="18"/>
      <c r="G3" s="21"/>
      <c r="H3" s="21"/>
      <c r="I3" s="18"/>
      <c r="J3" s="22"/>
      <c r="K3" s="23"/>
      <c r="L3" s="23"/>
      <c r="M3" s="24"/>
      <c r="N3" s="19"/>
      <c r="O3" s="25" t="str">
        <f aca="false">IF(OR(G3="",H3=""),"",H3-G3)</f>
        <v/>
      </c>
      <c r="P3" s="26" t="str">
        <f aca="false">IF(COUNTA(A3:N3)=0,"",IF(B3="","Falta el nombre",IF(C3="","Falta la cédula",IF(LEN(C3)&lt;&gt;10,"La cédula debe tener 10 dígitos",IF(F3="","Falta el tipo de plan",IF(G3="","Falta la fecha de inicio",IF(H3="","Falta la fecha de vencimiento",IF(O3&lt;=0,"El vencimiento debe ser posterior al inicio",IF(AND(F3&lt;&gt;"DIARIO",O3&lt;21),"Duración muy corta: revisar fechas",IF(O3&gt;400,"Duración mayor a 400 días: revisar fechas",IF(I3="","Falta la forma de pago",IF(L3="","Falta el monto cobrado","OK"))))))))))))</f>
        <v/>
      </c>
    </row>
    <row r="4" customFormat="false" ht="15" hidden="false" customHeight="false" outlineLevel="0" collapsed="false">
      <c r="A4" s="18"/>
      <c r="B4" s="19"/>
      <c r="C4" s="20"/>
      <c r="D4" s="20"/>
      <c r="E4" s="19"/>
      <c r="F4" s="18"/>
      <c r="G4" s="21"/>
      <c r="H4" s="21"/>
      <c r="I4" s="18"/>
      <c r="J4" s="22"/>
      <c r="K4" s="23"/>
      <c r="L4" s="23"/>
      <c r="M4" s="24"/>
      <c r="N4" s="19"/>
      <c r="O4" s="25" t="str">
        <f aca="false">IF(OR(G4="",H4=""),"",H4-G4)</f>
        <v/>
      </c>
      <c r="P4" s="26" t="str">
        <f aca="false">IF(COUNTA(A4:N4)=0,"",IF(B4="","Falta el nombre",IF(C4="","Falta la cédula",IF(LEN(C4)&lt;&gt;10,"La cédula debe tener 10 dígitos",IF(F4="","Falta el tipo de plan",IF(G4="","Falta la fecha de inicio",IF(H4="","Falta la fecha de vencimiento",IF(O4&lt;=0,"El vencimiento debe ser posterior al inicio",IF(AND(F4&lt;&gt;"DIARIO",O4&lt;21),"Duración muy corta: revisar fechas",IF(O4&gt;400,"Duración mayor a 400 días: revisar fechas",IF(I4="","Falta la forma de pago",IF(L4="","Falta el monto cobrado","OK"))))))))))))</f>
        <v/>
      </c>
    </row>
    <row r="5" customFormat="false" ht="15" hidden="false" customHeight="false" outlineLevel="0" collapsed="false">
      <c r="A5" s="18"/>
      <c r="B5" s="19"/>
      <c r="C5" s="20"/>
      <c r="D5" s="20"/>
      <c r="E5" s="19"/>
      <c r="F5" s="18"/>
      <c r="G5" s="21"/>
      <c r="H5" s="21"/>
      <c r="I5" s="18"/>
      <c r="J5" s="22"/>
      <c r="K5" s="23"/>
      <c r="L5" s="23"/>
      <c r="M5" s="24"/>
      <c r="N5" s="19"/>
      <c r="O5" s="25" t="str">
        <f aca="false">IF(OR(G5="",H5=""),"",H5-G5)</f>
        <v/>
      </c>
      <c r="P5" s="26" t="str">
        <f aca="false">IF(COUNTA(A5:N5)=0,"",IF(B5="","Falta el nombre",IF(C5="","Falta la cédula",IF(LEN(C5)&lt;&gt;10,"La cédula debe tener 10 dígitos",IF(F5="","Falta el tipo de plan",IF(G5="","Falta la fecha de inicio",IF(H5="","Falta la fecha de vencimiento",IF(O5&lt;=0,"El vencimiento debe ser posterior al inicio",IF(AND(F5&lt;&gt;"DIARIO",O5&lt;21),"Duración muy corta: revisar fechas",IF(O5&gt;400,"Duración mayor a 400 días: revisar fechas",IF(I5="","Falta la forma de pago",IF(L5="","Falta el monto cobrado","OK"))))))))))))</f>
        <v/>
      </c>
    </row>
    <row r="6" customFormat="false" ht="15" hidden="false" customHeight="false" outlineLevel="0" collapsed="false">
      <c r="A6" s="18"/>
      <c r="B6" s="19"/>
      <c r="C6" s="20"/>
      <c r="D6" s="20"/>
      <c r="E6" s="19"/>
      <c r="F6" s="18"/>
      <c r="G6" s="21"/>
      <c r="H6" s="21"/>
      <c r="I6" s="18"/>
      <c r="J6" s="22"/>
      <c r="K6" s="23"/>
      <c r="L6" s="23"/>
      <c r="M6" s="24"/>
      <c r="N6" s="19"/>
      <c r="O6" s="25" t="str">
        <f aca="false">IF(OR(G6="",H6=""),"",H6-G6)</f>
        <v/>
      </c>
      <c r="P6" s="26" t="str">
        <f aca="false">IF(COUNTA(A6:N6)=0,"",IF(B6="","Falta el nombre",IF(C6="","Falta la cédula",IF(LEN(C6)&lt;&gt;10,"La cédula debe tener 10 dígitos",IF(F6="","Falta el tipo de plan",IF(G6="","Falta la fecha de inicio",IF(H6="","Falta la fecha de vencimiento",IF(O6&lt;=0,"El vencimiento debe ser posterior al inicio",IF(AND(F6&lt;&gt;"DIARIO",O6&lt;21),"Duración muy corta: revisar fechas",IF(O6&gt;400,"Duración mayor a 400 días: revisar fechas",IF(I6="","Falta la forma de pago",IF(L6="","Falta el monto cobrado","OK"))))))))))))</f>
        <v/>
      </c>
    </row>
    <row r="7" customFormat="false" ht="15" hidden="false" customHeight="false" outlineLevel="0" collapsed="false">
      <c r="A7" s="18"/>
      <c r="B7" s="19"/>
      <c r="C7" s="20"/>
      <c r="D7" s="20"/>
      <c r="E7" s="19"/>
      <c r="F7" s="18"/>
      <c r="G7" s="21"/>
      <c r="H7" s="21"/>
      <c r="I7" s="18"/>
      <c r="J7" s="22"/>
      <c r="K7" s="23"/>
      <c r="L7" s="23"/>
      <c r="M7" s="24"/>
      <c r="N7" s="19"/>
      <c r="O7" s="25" t="str">
        <f aca="false">IF(OR(G7="",H7=""),"",H7-G7)</f>
        <v/>
      </c>
      <c r="P7" s="26" t="str">
        <f aca="false">IF(COUNTA(A7:N7)=0,"",IF(B7="","Falta el nombre",IF(C7="","Falta la cédula",IF(LEN(C7)&lt;&gt;10,"La cédula debe tener 10 dígitos",IF(F7="","Falta el tipo de plan",IF(G7="","Falta la fecha de inicio",IF(H7="","Falta la fecha de vencimiento",IF(O7&lt;=0,"El vencimiento debe ser posterior al inicio",IF(AND(F7&lt;&gt;"DIARIO",O7&lt;21),"Duración muy corta: revisar fechas",IF(O7&gt;400,"Duración mayor a 400 días: revisar fechas",IF(I7="","Falta la forma de pago",IF(L7="","Falta el monto cobrado","OK"))))))))))))</f>
        <v/>
      </c>
    </row>
    <row r="8" customFormat="false" ht="15" hidden="false" customHeight="false" outlineLevel="0" collapsed="false">
      <c r="A8" s="18"/>
      <c r="B8" s="19"/>
      <c r="C8" s="20"/>
      <c r="D8" s="20"/>
      <c r="E8" s="19"/>
      <c r="F8" s="18"/>
      <c r="G8" s="21"/>
      <c r="H8" s="21"/>
      <c r="I8" s="18"/>
      <c r="J8" s="22"/>
      <c r="K8" s="23"/>
      <c r="L8" s="23"/>
      <c r="M8" s="24"/>
      <c r="N8" s="19"/>
      <c r="O8" s="25" t="str">
        <f aca="false">IF(OR(G8="",H8=""),"",H8-G8)</f>
        <v/>
      </c>
      <c r="P8" s="26" t="str">
        <f aca="false">IF(COUNTA(A8:N8)=0,"",IF(B8="","Falta el nombre",IF(C8="","Falta la cédula",IF(LEN(C8)&lt;&gt;10,"La cédula debe tener 10 dígitos",IF(F8="","Falta el tipo de plan",IF(G8="","Falta la fecha de inicio",IF(H8="","Falta la fecha de vencimiento",IF(O8&lt;=0,"El vencimiento debe ser posterior al inicio",IF(AND(F8&lt;&gt;"DIARIO",O8&lt;21),"Duración muy corta: revisar fechas",IF(O8&gt;400,"Duración mayor a 400 días: revisar fechas",IF(I8="","Falta la forma de pago",IF(L8="","Falta el monto cobrado","OK"))))))))))))</f>
        <v/>
      </c>
    </row>
    <row r="9" customFormat="false" ht="15" hidden="false" customHeight="false" outlineLevel="0" collapsed="false">
      <c r="A9" s="18"/>
      <c r="B9" s="19"/>
      <c r="C9" s="20"/>
      <c r="D9" s="20"/>
      <c r="E9" s="19"/>
      <c r="F9" s="18"/>
      <c r="G9" s="21"/>
      <c r="H9" s="21"/>
      <c r="I9" s="18"/>
      <c r="J9" s="22"/>
      <c r="K9" s="23"/>
      <c r="L9" s="23"/>
      <c r="M9" s="24"/>
      <c r="N9" s="19"/>
      <c r="O9" s="25" t="str">
        <f aca="false">IF(OR(G9="",H9=""),"",H9-G9)</f>
        <v/>
      </c>
      <c r="P9" s="26" t="str">
        <f aca="false">IF(COUNTA(A9:N9)=0,"",IF(B9="","Falta el nombre",IF(C9="","Falta la cédula",IF(LEN(C9)&lt;&gt;10,"La cédula debe tener 10 dígitos",IF(F9="","Falta el tipo de plan",IF(G9="","Falta la fecha de inicio",IF(H9="","Falta la fecha de vencimiento",IF(O9&lt;=0,"El vencimiento debe ser posterior al inicio",IF(AND(F9&lt;&gt;"DIARIO",O9&lt;21),"Duración muy corta: revisar fechas",IF(O9&gt;400,"Duración mayor a 400 días: revisar fechas",IF(I9="","Falta la forma de pago",IF(L9="","Falta el monto cobrado","OK"))))))))))))</f>
        <v/>
      </c>
    </row>
    <row r="10" customFormat="false" ht="15" hidden="false" customHeight="false" outlineLevel="0" collapsed="false">
      <c r="A10" s="18"/>
      <c r="B10" s="19"/>
      <c r="C10" s="20"/>
      <c r="D10" s="20"/>
      <c r="E10" s="19"/>
      <c r="F10" s="18"/>
      <c r="G10" s="21"/>
      <c r="H10" s="21"/>
      <c r="I10" s="18"/>
      <c r="J10" s="22"/>
      <c r="K10" s="23"/>
      <c r="L10" s="23"/>
      <c r="M10" s="24"/>
      <c r="N10" s="19"/>
      <c r="O10" s="25" t="str">
        <f aca="false">IF(OR(G10="",H10=""),"",H10-G10)</f>
        <v/>
      </c>
      <c r="P10" s="26" t="str">
        <f aca="false">IF(COUNTA(A10:N10)=0,"",IF(B10="","Falta el nombre",IF(C10="","Falta la cédula",IF(LEN(C10)&lt;&gt;10,"La cédula debe tener 10 dígitos",IF(F10="","Falta el tipo de plan",IF(G10="","Falta la fecha de inicio",IF(H10="","Falta la fecha de vencimiento",IF(O10&lt;=0,"El vencimiento debe ser posterior al inicio",IF(AND(F10&lt;&gt;"DIARIO",O10&lt;21),"Duración muy corta: revisar fechas",IF(O10&gt;400,"Duración mayor a 400 días: revisar fechas",IF(I10="","Falta la forma de pago",IF(L10="","Falta el monto cobrado","OK"))))))))))))</f>
        <v/>
      </c>
    </row>
    <row r="11" customFormat="false" ht="15" hidden="false" customHeight="false" outlineLevel="0" collapsed="false">
      <c r="A11" s="18"/>
      <c r="B11" s="19"/>
      <c r="C11" s="20"/>
      <c r="D11" s="20"/>
      <c r="E11" s="19"/>
      <c r="F11" s="18"/>
      <c r="G11" s="21"/>
      <c r="H11" s="21"/>
      <c r="I11" s="18"/>
      <c r="J11" s="22"/>
      <c r="K11" s="23"/>
      <c r="L11" s="23"/>
      <c r="M11" s="24"/>
      <c r="N11" s="19"/>
      <c r="O11" s="25" t="str">
        <f aca="false">IF(OR(G11="",H11=""),"",H11-G11)</f>
        <v/>
      </c>
      <c r="P11" s="26" t="str">
        <f aca="false">IF(COUNTA(A11:N11)=0,"",IF(B11="","Falta el nombre",IF(C11="","Falta la cédula",IF(LEN(C11)&lt;&gt;10,"La cédula debe tener 10 dígitos",IF(F11="","Falta el tipo de plan",IF(G11="","Falta la fecha de inicio",IF(H11="","Falta la fecha de vencimiento",IF(O11&lt;=0,"El vencimiento debe ser posterior al inicio",IF(AND(F11&lt;&gt;"DIARIO",O11&lt;21),"Duración muy corta: revisar fechas",IF(O11&gt;400,"Duración mayor a 400 días: revisar fechas",IF(I11="","Falta la forma de pago",IF(L11="","Falta el monto cobrado","OK"))))))))))))</f>
        <v/>
      </c>
    </row>
    <row r="12" customFormat="false" ht="15" hidden="false" customHeight="false" outlineLevel="0" collapsed="false">
      <c r="A12" s="18"/>
      <c r="B12" s="19"/>
      <c r="C12" s="20"/>
      <c r="D12" s="20"/>
      <c r="E12" s="19"/>
      <c r="F12" s="18"/>
      <c r="G12" s="21"/>
      <c r="H12" s="21"/>
      <c r="I12" s="18"/>
      <c r="J12" s="22"/>
      <c r="K12" s="23"/>
      <c r="L12" s="23"/>
      <c r="M12" s="24"/>
      <c r="N12" s="19"/>
      <c r="O12" s="25" t="str">
        <f aca="false">IF(OR(G12="",H12=""),"",H12-G12)</f>
        <v/>
      </c>
      <c r="P12" s="26" t="str">
        <f aca="false">IF(COUNTA(A12:N12)=0,"",IF(B12="","Falta el nombre",IF(C12="","Falta la cédula",IF(LEN(C12)&lt;&gt;10,"La cédula debe tener 10 dígitos",IF(F12="","Falta el tipo de plan",IF(G12="","Falta la fecha de inicio",IF(H12="","Falta la fecha de vencimiento",IF(O12&lt;=0,"El vencimiento debe ser posterior al inicio",IF(AND(F12&lt;&gt;"DIARIO",O12&lt;21),"Duración muy corta: revisar fechas",IF(O12&gt;400,"Duración mayor a 400 días: revisar fechas",IF(I12="","Falta la forma de pago",IF(L12="","Falta el monto cobrado","OK"))))))))))))</f>
        <v/>
      </c>
    </row>
    <row r="13" customFormat="false" ht="15" hidden="false" customHeight="false" outlineLevel="0" collapsed="false">
      <c r="A13" s="18"/>
      <c r="B13" s="19"/>
      <c r="C13" s="20"/>
      <c r="D13" s="20"/>
      <c r="E13" s="19"/>
      <c r="F13" s="18"/>
      <c r="G13" s="21"/>
      <c r="H13" s="21"/>
      <c r="I13" s="18"/>
      <c r="J13" s="22"/>
      <c r="K13" s="23"/>
      <c r="L13" s="23"/>
      <c r="M13" s="24"/>
      <c r="N13" s="19"/>
      <c r="O13" s="25" t="str">
        <f aca="false">IF(OR(G13="",H13=""),"",H13-G13)</f>
        <v/>
      </c>
      <c r="P13" s="26" t="str">
        <f aca="false">IF(COUNTA(A13:N13)=0,"",IF(B13="","Falta el nombre",IF(C13="","Falta la cédula",IF(LEN(C13)&lt;&gt;10,"La cédula debe tener 10 dígitos",IF(F13="","Falta el tipo de plan",IF(G13="","Falta la fecha de inicio",IF(H13="","Falta la fecha de vencimiento",IF(O13&lt;=0,"El vencimiento debe ser posterior al inicio",IF(AND(F13&lt;&gt;"DIARIO",O13&lt;21),"Duración muy corta: revisar fechas",IF(O13&gt;400,"Duración mayor a 400 días: revisar fechas",IF(I13="","Falta la forma de pago",IF(L13="","Falta el monto cobrado","OK"))))))))))))</f>
        <v/>
      </c>
    </row>
    <row r="14" customFormat="false" ht="15" hidden="false" customHeight="false" outlineLevel="0" collapsed="false">
      <c r="A14" s="18"/>
      <c r="B14" s="19"/>
      <c r="C14" s="20"/>
      <c r="D14" s="20"/>
      <c r="E14" s="19"/>
      <c r="F14" s="18"/>
      <c r="G14" s="21"/>
      <c r="H14" s="21"/>
      <c r="I14" s="18"/>
      <c r="J14" s="22"/>
      <c r="K14" s="23"/>
      <c r="L14" s="23"/>
      <c r="M14" s="24"/>
      <c r="N14" s="19"/>
      <c r="O14" s="25" t="str">
        <f aca="false">IF(OR(G14="",H14=""),"",H14-G14)</f>
        <v/>
      </c>
      <c r="P14" s="26" t="str">
        <f aca="false">IF(COUNTA(A14:N14)=0,"",IF(B14="","Falta el nombre",IF(C14="","Falta la cédula",IF(LEN(C14)&lt;&gt;10,"La cédula debe tener 10 dígitos",IF(F14="","Falta el tipo de plan",IF(G14="","Falta la fecha de inicio",IF(H14="","Falta la fecha de vencimiento",IF(O14&lt;=0,"El vencimiento debe ser posterior al inicio",IF(AND(F14&lt;&gt;"DIARIO",O14&lt;21),"Duración muy corta: revisar fechas",IF(O14&gt;400,"Duración mayor a 400 días: revisar fechas",IF(I14="","Falta la forma de pago",IF(L14="","Falta el monto cobrado","OK"))))))))))))</f>
        <v/>
      </c>
    </row>
    <row r="15" customFormat="false" ht="15" hidden="false" customHeight="false" outlineLevel="0" collapsed="false">
      <c r="A15" s="18"/>
      <c r="B15" s="19"/>
      <c r="C15" s="20"/>
      <c r="D15" s="20"/>
      <c r="E15" s="19"/>
      <c r="F15" s="18"/>
      <c r="G15" s="21"/>
      <c r="H15" s="21"/>
      <c r="I15" s="18"/>
      <c r="J15" s="22"/>
      <c r="K15" s="23"/>
      <c r="L15" s="23"/>
      <c r="M15" s="24"/>
      <c r="N15" s="19"/>
      <c r="O15" s="25" t="str">
        <f aca="false">IF(OR(G15="",H15=""),"",H15-G15)</f>
        <v/>
      </c>
      <c r="P15" s="26" t="str">
        <f aca="false">IF(COUNTA(A15:N15)=0,"",IF(B15="","Falta el nombre",IF(C15="","Falta la cédula",IF(LEN(C15)&lt;&gt;10,"La cédula debe tener 10 dígitos",IF(F15="","Falta el tipo de plan",IF(G15="","Falta la fecha de inicio",IF(H15="","Falta la fecha de vencimiento",IF(O15&lt;=0,"El vencimiento debe ser posterior al inicio",IF(AND(F15&lt;&gt;"DIARIO",O15&lt;21),"Duración muy corta: revisar fechas",IF(O15&gt;400,"Duración mayor a 400 días: revisar fechas",IF(I15="","Falta la forma de pago",IF(L15="","Falta el monto cobrado","OK"))))))))))))</f>
        <v/>
      </c>
    </row>
    <row r="16" customFormat="false" ht="15" hidden="false" customHeight="false" outlineLevel="0" collapsed="false">
      <c r="A16" s="18"/>
      <c r="B16" s="19"/>
      <c r="C16" s="20"/>
      <c r="D16" s="20"/>
      <c r="E16" s="19"/>
      <c r="F16" s="18"/>
      <c r="G16" s="21"/>
      <c r="H16" s="21"/>
      <c r="I16" s="18"/>
      <c r="J16" s="22"/>
      <c r="K16" s="23"/>
      <c r="L16" s="23"/>
      <c r="M16" s="24"/>
      <c r="N16" s="19"/>
      <c r="O16" s="25" t="str">
        <f aca="false">IF(OR(G16="",H16=""),"",H16-G16)</f>
        <v/>
      </c>
      <c r="P16" s="26" t="str">
        <f aca="false">IF(COUNTA(A16:N16)=0,"",IF(B16="","Falta el nombre",IF(C16="","Falta la cédula",IF(LEN(C16)&lt;&gt;10,"La cédula debe tener 10 dígitos",IF(F16="","Falta el tipo de plan",IF(G16="","Falta la fecha de inicio",IF(H16="","Falta la fecha de vencimiento",IF(O16&lt;=0,"El vencimiento debe ser posterior al inicio",IF(AND(F16&lt;&gt;"DIARIO",O16&lt;21),"Duración muy corta: revisar fechas",IF(O16&gt;400,"Duración mayor a 400 días: revisar fechas",IF(I16="","Falta la forma de pago",IF(L16="","Falta el monto cobrado","OK"))))))))))))</f>
        <v/>
      </c>
    </row>
    <row r="17" customFormat="false" ht="15" hidden="false" customHeight="false" outlineLevel="0" collapsed="false">
      <c r="A17" s="18"/>
      <c r="B17" s="19"/>
      <c r="C17" s="20"/>
      <c r="D17" s="20"/>
      <c r="E17" s="19"/>
      <c r="F17" s="18"/>
      <c r="G17" s="21"/>
      <c r="H17" s="21"/>
      <c r="I17" s="18"/>
      <c r="J17" s="22"/>
      <c r="K17" s="23"/>
      <c r="L17" s="23"/>
      <c r="M17" s="24"/>
      <c r="N17" s="19"/>
      <c r="O17" s="25" t="str">
        <f aca="false">IF(OR(G17="",H17=""),"",H17-G17)</f>
        <v/>
      </c>
      <c r="P17" s="26" t="str">
        <f aca="false">IF(COUNTA(A17:N17)=0,"",IF(B17="","Falta el nombre",IF(C17="","Falta la cédula",IF(LEN(C17)&lt;&gt;10,"La cédula debe tener 10 dígitos",IF(F17="","Falta el tipo de plan",IF(G17="","Falta la fecha de inicio",IF(H17="","Falta la fecha de vencimiento",IF(O17&lt;=0,"El vencimiento debe ser posterior al inicio",IF(AND(F17&lt;&gt;"DIARIO",O17&lt;21),"Duración muy corta: revisar fechas",IF(O17&gt;400,"Duración mayor a 400 días: revisar fechas",IF(I17="","Falta la forma de pago",IF(L17="","Falta el monto cobrado","OK"))))))))))))</f>
        <v/>
      </c>
    </row>
    <row r="18" customFormat="false" ht="15" hidden="false" customHeight="false" outlineLevel="0" collapsed="false">
      <c r="A18" s="18"/>
      <c r="B18" s="19"/>
      <c r="C18" s="20"/>
      <c r="D18" s="20"/>
      <c r="E18" s="19"/>
      <c r="F18" s="18"/>
      <c r="G18" s="21"/>
      <c r="H18" s="21"/>
      <c r="I18" s="18"/>
      <c r="J18" s="22"/>
      <c r="K18" s="23"/>
      <c r="L18" s="23"/>
      <c r="M18" s="24"/>
      <c r="N18" s="19"/>
      <c r="O18" s="25" t="str">
        <f aca="false">IF(OR(G18="",H18=""),"",H18-G18)</f>
        <v/>
      </c>
      <c r="P18" s="26" t="str">
        <f aca="false">IF(COUNTA(A18:N18)=0,"",IF(B18="","Falta el nombre",IF(C18="","Falta la cédula",IF(LEN(C18)&lt;&gt;10,"La cédula debe tener 10 dígitos",IF(F18="","Falta el tipo de plan",IF(G18="","Falta la fecha de inicio",IF(H18="","Falta la fecha de vencimiento",IF(O18&lt;=0,"El vencimiento debe ser posterior al inicio",IF(AND(F18&lt;&gt;"DIARIO",O18&lt;21),"Duración muy corta: revisar fechas",IF(O18&gt;400,"Duración mayor a 400 días: revisar fechas",IF(I18="","Falta la forma de pago",IF(L18="","Falta el monto cobrado","OK"))))))))))))</f>
        <v/>
      </c>
    </row>
    <row r="19" customFormat="false" ht="15" hidden="false" customHeight="false" outlineLevel="0" collapsed="false">
      <c r="A19" s="18"/>
      <c r="B19" s="19"/>
      <c r="C19" s="20"/>
      <c r="D19" s="20"/>
      <c r="E19" s="19"/>
      <c r="F19" s="18"/>
      <c r="G19" s="21"/>
      <c r="H19" s="21"/>
      <c r="I19" s="18"/>
      <c r="J19" s="22"/>
      <c r="K19" s="23"/>
      <c r="L19" s="23"/>
      <c r="M19" s="24"/>
      <c r="N19" s="19"/>
      <c r="O19" s="25" t="str">
        <f aca="false">IF(OR(G19="",H19=""),"",H19-G19)</f>
        <v/>
      </c>
      <c r="P19" s="26" t="str">
        <f aca="false">IF(COUNTA(A19:N19)=0,"",IF(B19="","Falta el nombre",IF(C19="","Falta la cédula",IF(LEN(C19)&lt;&gt;10,"La cédula debe tener 10 dígitos",IF(F19="","Falta el tipo de plan",IF(G19="","Falta la fecha de inicio",IF(H19="","Falta la fecha de vencimiento",IF(O19&lt;=0,"El vencimiento debe ser posterior al inicio",IF(AND(F19&lt;&gt;"DIARIO",O19&lt;21),"Duración muy corta: revisar fechas",IF(O19&gt;400,"Duración mayor a 400 días: revisar fechas",IF(I19="","Falta la forma de pago",IF(L19="","Falta el monto cobrado","OK"))))))))))))</f>
        <v/>
      </c>
    </row>
    <row r="20" customFormat="false" ht="15" hidden="false" customHeight="false" outlineLevel="0" collapsed="false">
      <c r="A20" s="18"/>
      <c r="B20" s="19"/>
      <c r="C20" s="20"/>
      <c r="D20" s="20"/>
      <c r="E20" s="19"/>
      <c r="F20" s="18"/>
      <c r="G20" s="21"/>
      <c r="H20" s="21"/>
      <c r="I20" s="18"/>
      <c r="J20" s="22"/>
      <c r="K20" s="23"/>
      <c r="L20" s="23"/>
      <c r="M20" s="24"/>
      <c r="N20" s="19"/>
      <c r="O20" s="25" t="str">
        <f aca="false">IF(OR(G20="",H20=""),"",H20-G20)</f>
        <v/>
      </c>
      <c r="P20" s="26" t="str">
        <f aca="false">IF(COUNTA(A20:N20)=0,"",IF(B20="","Falta el nombre",IF(C20="","Falta la cédula",IF(LEN(C20)&lt;&gt;10,"La cédula debe tener 10 dígitos",IF(F20="","Falta el tipo de plan",IF(G20="","Falta la fecha de inicio",IF(H20="","Falta la fecha de vencimiento",IF(O20&lt;=0,"El vencimiento debe ser posterior al inicio",IF(AND(F20&lt;&gt;"DIARIO",O20&lt;21),"Duración muy corta: revisar fechas",IF(O20&gt;400,"Duración mayor a 400 días: revisar fechas",IF(I20="","Falta la forma de pago",IF(L20="","Falta el monto cobrado","OK"))))))))))))</f>
        <v/>
      </c>
    </row>
    <row r="21" customFormat="false" ht="15" hidden="false" customHeight="false" outlineLevel="0" collapsed="false">
      <c r="A21" s="18"/>
      <c r="B21" s="19"/>
      <c r="C21" s="20"/>
      <c r="D21" s="20"/>
      <c r="E21" s="19"/>
      <c r="F21" s="18"/>
      <c r="G21" s="21"/>
      <c r="H21" s="21"/>
      <c r="I21" s="18"/>
      <c r="J21" s="22"/>
      <c r="K21" s="23"/>
      <c r="L21" s="23"/>
      <c r="M21" s="24"/>
      <c r="N21" s="19"/>
      <c r="O21" s="25" t="str">
        <f aca="false">IF(OR(G21="",H21=""),"",H21-G21)</f>
        <v/>
      </c>
      <c r="P21" s="26" t="str">
        <f aca="false">IF(COUNTA(A21:N21)=0,"",IF(B21="","Falta el nombre",IF(C21="","Falta la cédula",IF(LEN(C21)&lt;&gt;10,"La cédula debe tener 10 dígitos",IF(F21="","Falta el tipo de plan",IF(G21="","Falta la fecha de inicio",IF(H21="","Falta la fecha de vencimiento",IF(O21&lt;=0,"El vencimiento debe ser posterior al inicio",IF(AND(F21&lt;&gt;"DIARIO",O21&lt;21),"Duración muy corta: revisar fechas",IF(O21&gt;400,"Duración mayor a 400 días: revisar fechas",IF(I21="","Falta la forma de pago",IF(L21="","Falta el monto cobrado","OK"))))))))))))</f>
        <v/>
      </c>
    </row>
    <row r="22" customFormat="false" ht="15" hidden="false" customHeight="false" outlineLevel="0" collapsed="false">
      <c r="A22" s="18"/>
      <c r="B22" s="19"/>
      <c r="C22" s="20"/>
      <c r="D22" s="20"/>
      <c r="E22" s="19"/>
      <c r="F22" s="18"/>
      <c r="G22" s="21"/>
      <c r="H22" s="21"/>
      <c r="I22" s="18"/>
      <c r="J22" s="22"/>
      <c r="K22" s="23"/>
      <c r="L22" s="23"/>
      <c r="M22" s="24"/>
      <c r="N22" s="19"/>
      <c r="O22" s="25" t="str">
        <f aca="false">IF(OR(G22="",H22=""),"",H22-G22)</f>
        <v/>
      </c>
      <c r="P22" s="26" t="str">
        <f aca="false">IF(COUNTA(A22:N22)=0,"",IF(B22="","Falta el nombre",IF(C22="","Falta la cédula",IF(LEN(C22)&lt;&gt;10,"La cédula debe tener 10 dígitos",IF(F22="","Falta el tipo de plan",IF(G22="","Falta la fecha de inicio",IF(H22="","Falta la fecha de vencimiento",IF(O22&lt;=0,"El vencimiento debe ser posterior al inicio",IF(AND(F22&lt;&gt;"DIARIO",O22&lt;21),"Duración muy corta: revisar fechas",IF(O22&gt;400,"Duración mayor a 400 días: revisar fechas",IF(I22="","Falta la forma de pago",IF(L22="","Falta el monto cobrado","OK"))))))))))))</f>
        <v/>
      </c>
    </row>
    <row r="23" customFormat="false" ht="15" hidden="false" customHeight="false" outlineLevel="0" collapsed="false">
      <c r="A23" s="18"/>
      <c r="B23" s="19"/>
      <c r="C23" s="20"/>
      <c r="D23" s="20"/>
      <c r="E23" s="19"/>
      <c r="F23" s="18"/>
      <c r="G23" s="21"/>
      <c r="H23" s="21"/>
      <c r="I23" s="18"/>
      <c r="J23" s="22"/>
      <c r="K23" s="23"/>
      <c r="L23" s="23"/>
      <c r="M23" s="24"/>
      <c r="N23" s="19"/>
      <c r="O23" s="25" t="str">
        <f aca="false">IF(OR(G23="",H23=""),"",H23-G23)</f>
        <v/>
      </c>
      <c r="P23" s="26" t="str">
        <f aca="false">IF(COUNTA(A23:N23)=0,"",IF(B23="","Falta el nombre",IF(C23="","Falta la cédula",IF(LEN(C23)&lt;&gt;10,"La cédula debe tener 10 dígitos",IF(F23="","Falta el tipo de plan",IF(G23="","Falta la fecha de inicio",IF(H23="","Falta la fecha de vencimiento",IF(O23&lt;=0,"El vencimiento debe ser posterior al inicio",IF(AND(F23&lt;&gt;"DIARIO",O23&lt;21),"Duración muy corta: revisar fechas",IF(O23&gt;400,"Duración mayor a 400 días: revisar fechas",IF(I23="","Falta la forma de pago",IF(L23="","Falta el monto cobrado","OK"))))))))))))</f>
        <v/>
      </c>
    </row>
    <row r="24" customFormat="false" ht="15" hidden="false" customHeight="false" outlineLevel="0" collapsed="false">
      <c r="A24" s="18"/>
      <c r="B24" s="19"/>
      <c r="C24" s="20"/>
      <c r="D24" s="20"/>
      <c r="E24" s="19"/>
      <c r="F24" s="18"/>
      <c r="G24" s="21"/>
      <c r="H24" s="21"/>
      <c r="I24" s="18"/>
      <c r="J24" s="22"/>
      <c r="K24" s="23"/>
      <c r="L24" s="23"/>
      <c r="M24" s="24"/>
      <c r="N24" s="19"/>
      <c r="O24" s="25" t="str">
        <f aca="false">IF(OR(G24="",H24=""),"",H24-G24)</f>
        <v/>
      </c>
      <c r="P24" s="26" t="str">
        <f aca="false">IF(COUNTA(A24:N24)=0,"",IF(B24="","Falta el nombre",IF(C24="","Falta la cédula",IF(LEN(C24)&lt;&gt;10,"La cédula debe tener 10 dígitos",IF(F24="","Falta el tipo de plan",IF(G24="","Falta la fecha de inicio",IF(H24="","Falta la fecha de vencimiento",IF(O24&lt;=0,"El vencimiento debe ser posterior al inicio",IF(AND(F24&lt;&gt;"DIARIO",O24&lt;21),"Duración muy corta: revisar fechas",IF(O24&gt;400,"Duración mayor a 400 días: revisar fechas",IF(I24="","Falta la forma de pago",IF(L24="","Falta el monto cobrado","OK"))))))))))))</f>
        <v/>
      </c>
    </row>
    <row r="25" customFormat="false" ht="15" hidden="false" customHeight="false" outlineLevel="0" collapsed="false">
      <c r="A25" s="18"/>
      <c r="B25" s="19"/>
      <c r="C25" s="20"/>
      <c r="D25" s="20"/>
      <c r="E25" s="19"/>
      <c r="F25" s="18"/>
      <c r="G25" s="21"/>
      <c r="H25" s="21"/>
      <c r="I25" s="18"/>
      <c r="J25" s="22"/>
      <c r="K25" s="23"/>
      <c r="L25" s="23"/>
      <c r="M25" s="24"/>
      <c r="N25" s="19"/>
      <c r="O25" s="25" t="str">
        <f aca="false">IF(OR(G25="",H25=""),"",H25-G25)</f>
        <v/>
      </c>
      <c r="P25" s="26" t="str">
        <f aca="false">IF(COUNTA(A25:N25)=0,"",IF(B25="","Falta el nombre",IF(C25="","Falta la cédula",IF(LEN(C25)&lt;&gt;10,"La cédula debe tener 10 dígitos",IF(F25="","Falta el tipo de plan",IF(G25="","Falta la fecha de inicio",IF(H25="","Falta la fecha de vencimiento",IF(O25&lt;=0,"El vencimiento debe ser posterior al inicio",IF(AND(F25&lt;&gt;"DIARIO",O25&lt;21),"Duración muy corta: revisar fechas",IF(O25&gt;400,"Duración mayor a 400 días: revisar fechas",IF(I25="","Falta la forma de pago",IF(L25="","Falta el monto cobrado","OK"))))))))))))</f>
        <v/>
      </c>
    </row>
    <row r="26" customFormat="false" ht="15" hidden="false" customHeight="false" outlineLevel="0" collapsed="false">
      <c r="A26" s="18"/>
      <c r="B26" s="19"/>
      <c r="C26" s="20"/>
      <c r="D26" s="20"/>
      <c r="E26" s="19"/>
      <c r="F26" s="18"/>
      <c r="G26" s="21"/>
      <c r="H26" s="21"/>
      <c r="I26" s="18"/>
      <c r="J26" s="22"/>
      <c r="K26" s="23"/>
      <c r="L26" s="23"/>
      <c r="M26" s="24"/>
      <c r="N26" s="19"/>
      <c r="O26" s="25" t="str">
        <f aca="false">IF(OR(G26="",H26=""),"",H26-G26)</f>
        <v/>
      </c>
      <c r="P26" s="26" t="str">
        <f aca="false">IF(COUNTA(A26:N26)=0,"",IF(B26="","Falta el nombre",IF(C26="","Falta la cédula",IF(LEN(C26)&lt;&gt;10,"La cédula debe tener 10 dígitos",IF(F26="","Falta el tipo de plan",IF(G26="","Falta la fecha de inicio",IF(H26="","Falta la fecha de vencimiento",IF(O26&lt;=0,"El vencimiento debe ser posterior al inicio",IF(AND(F26&lt;&gt;"DIARIO",O26&lt;21),"Duración muy corta: revisar fechas",IF(O26&gt;400,"Duración mayor a 400 días: revisar fechas",IF(I26="","Falta la forma de pago",IF(L26="","Falta el monto cobrado","OK"))))))))))))</f>
        <v/>
      </c>
    </row>
    <row r="27" customFormat="false" ht="15" hidden="false" customHeight="false" outlineLevel="0" collapsed="false">
      <c r="A27" s="18"/>
      <c r="B27" s="19"/>
      <c r="C27" s="20"/>
      <c r="D27" s="20"/>
      <c r="E27" s="19"/>
      <c r="F27" s="18"/>
      <c r="G27" s="21"/>
      <c r="H27" s="21"/>
      <c r="I27" s="18"/>
      <c r="J27" s="22"/>
      <c r="K27" s="23"/>
      <c r="L27" s="23"/>
      <c r="M27" s="24"/>
      <c r="N27" s="19"/>
      <c r="O27" s="25" t="str">
        <f aca="false">IF(OR(G27="",H27=""),"",H27-G27)</f>
        <v/>
      </c>
      <c r="P27" s="26" t="str">
        <f aca="false">IF(COUNTA(A27:N27)=0,"",IF(B27="","Falta el nombre",IF(C27="","Falta la cédula",IF(LEN(C27)&lt;&gt;10,"La cédula debe tener 10 dígitos",IF(F27="","Falta el tipo de plan",IF(G27="","Falta la fecha de inicio",IF(H27="","Falta la fecha de vencimiento",IF(O27&lt;=0,"El vencimiento debe ser posterior al inicio",IF(AND(F27&lt;&gt;"DIARIO",O27&lt;21),"Duración muy corta: revisar fechas",IF(O27&gt;400,"Duración mayor a 400 días: revisar fechas",IF(I27="","Falta la forma de pago",IF(L27="","Falta el monto cobrado","OK"))))))))))))</f>
        <v/>
      </c>
    </row>
    <row r="28" customFormat="false" ht="15" hidden="false" customHeight="false" outlineLevel="0" collapsed="false">
      <c r="A28" s="18"/>
      <c r="B28" s="19"/>
      <c r="C28" s="20"/>
      <c r="D28" s="20"/>
      <c r="E28" s="19"/>
      <c r="F28" s="18"/>
      <c r="G28" s="21"/>
      <c r="H28" s="21"/>
      <c r="I28" s="18"/>
      <c r="J28" s="22"/>
      <c r="K28" s="23"/>
      <c r="L28" s="23"/>
      <c r="M28" s="24"/>
      <c r="N28" s="19"/>
      <c r="O28" s="25" t="str">
        <f aca="false">IF(OR(G28="",H28=""),"",H28-G28)</f>
        <v/>
      </c>
      <c r="P28" s="26" t="str">
        <f aca="false">IF(COUNTA(A28:N28)=0,"",IF(B28="","Falta el nombre",IF(C28="","Falta la cédula",IF(LEN(C28)&lt;&gt;10,"La cédula debe tener 10 dígitos",IF(F28="","Falta el tipo de plan",IF(G28="","Falta la fecha de inicio",IF(H28="","Falta la fecha de vencimiento",IF(O28&lt;=0,"El vencimiento debe ser posterior al inicio",IF(AND(F28&lt;&gt;"DIARIO",O28&lt;21),"Duración muy corta: revisar fechas",IF(O28&gt;400,"Duración mayor a 400 días: revisar fechas",IF(I28="","Falta la forma de pago",IF(L28="","Falta el monto cobrado","OK"))))))))))))</f>
        <v/>
      </c>
    </row>
    <row r="29" customFormat="false" ht="15" hidden="false" customHeight="false" outlineLevel="0" collapsed="false">
      <c r="A29" s="18"/>
      <c r="B29" s="19"/>
      <c r="C29" s="20"/>
      <c r="D29" s="20"/>
      <c r="E29" s="19"/>
      <c r="F29" s="18"/>
      <c r="G29" s="21"/>
      <c r="H29" s="21"/>
      <c r="I29" s="18"/>
      <c r="J29" s="22"/>
      <c r="K29" s="23"/>
      <c r="L29" s="23"/>
      <c r="M29" s="24"/>
      <c r="N29" s="19"/>
      <c r="O29" s="25" t="str">
        <f aca="false">IF(OR(G29="",H29=""),"",H29-G29)</f>
        <v/>
      </c>
      <c r="P29" s="26" t="str">
        <f aca="false">IF(COUNTA(A29:N29)=0,"",IF(B29="","Falta el nombre",IF(C29="","Falta la cédula",IF(LEN(C29)&lt;&gt;10,"La cédula debe tener 10 dígitos",IF(F29="","Falta el tipo de plan",IF(G29="","Falta la fecha de inicio",IF(H29="","Falta la fecha de vencimiento",IF(O29&lt;=0,"El vencimiento debe ser posterior al inicio",IF(AND(F29&lt;&gt;"DIARIO",O29&lt;21),"Duración muy corta: revisar fechas",IF(O29&gt;400,"Duración mayor a 400 días: revisar fechas",IF(I29="","Falta la forma de pago",IF(L29="","Falta el monto cobrado","OK"))))))))))))</f>
        <v/>
      </c>
    </row>
    <row r="30" customFormat="false" ht="15" hidden="false" customHeight="false" outlineLevel="0" collapsed="false">
      <c r="A30" s="18"/>
      <c r="B30" s="19"/>
      <c r="C30" s="20"/>
      <c r="D30" s="20"/>
      <c r="E30" s="19"/>
      <c r="F30" s="18"/>
      <c r="G30" s="21"/>
      <c r="H30" s="21"/>
      <c r="I30" s="18"/>
      <c r="J30" s="22"/>
      <c r="K30" s="23"/>
      <c r="L30" s="23"/>
      <c r="M30" s="24"/>
      <c r="N30" s="19"/>
      <c r="O30" s="25" t="str">
        <f aca="false">IF(OR(G30="",H30=""),"",H30-G30)</f>
        <v/>
      </c>
      <c r="P30" s="26" t="str">
        <f aca="false">IF(COUNTA(A30:N30)=0,"",IF(B30="","Falta el nombre",IF(C30="","Falta la cédula",IF(LEN(C30)&lt;&gt;10,"La cédula debe tener 10 dígitos",IF(F30="","Falta el tipo de plan",IF(G30="","Falta la fecha de inicio",IF(H30="","Falta la fecha de vencimiento",IF(O30&lt;=0,"El vencimiento debe ser posterior al inicio",IF(AND(F30&lt;&gt;"DIARIO",O30&lt;21),"Duración muy corta: revisar fechas",IF(O30&gt;400,"Duración mayor a 400 días: revisar fechas",IF(I30="","Falta la forma de pago",IF(L30="","Falta el monto cobrado","OK"))))))))))))</f>
        <v/>
      </c>
    </row>
    <row r="31" customFormat="false" ht="15" hidden="false" customHeight="false" outlineLevel="0" collapsed="false">
      <c r="A31" s="18"/>
      <c r="B31" s="19"/>
      <c r="C31" s="20"/>
      <c r="D31" s="20"/>
      <c r="E31" s="19"/>
      <c r="F31" s="18"/>
      <c r="G31" s="21"/>
      <c r="H31" s="21"/>
      <c r="I31" s="18"/>
      <c r="J31" s="22"/>
      <c r="K31" s="23"/>
      <c r="L31" s="23"/>
      <c r="M31" s="24"/>
      <c r="N31" s="19"/>
      <c r="O31" s="25" t="str">
        <f aca="false">IF(OR(G31="",H31=""),"",H31-G31)</f>
        <v/>
      </c>
      <c r="P31" s="26" t="str">
        <f aca="false">IF(COUNTA(A31:N31)=0,"",IF(B31="","Falta el nombre",IF(C31="","Falta la cédula",IF(LEN(C31)&lt;&gt;10,"La cédula debe tener 10 dígitos",IF(F31="","Falta el tipo de plan",IF(G31="","Falta la fecha de inicio",IF(H31="","Falta la fecha de vencimiento",IF(O31&lt;=0,"El vencimiento debe ser posterior al inicio",IF(AND(F31&lt;&gt;"DIARIO",O31&lt;21),"Duración muy corta: revisar fechas",IF(O31&gt;400,"Duración mayor a 400 días: revisar fechas",IF(I31="","Falta la forma de pago",IF(L31="","Falta el monto cobrado","OK"))))))))))))</f>
        <v/>
      </c>
    </row>
    <row r="32" customFormat="false" ht="15" hidden="false" customHeight="false" outlineLevel="0" collapsed="false">
      <c r="A32" s="18"/>
      <c r="B32" s="19"/>
      <c r="C32" s="20"/>
      <c r="D32" s="20"/>
      <c r="E32" s="19"/>
      <c r="F32" s="18"/>
      <c r="G32" s="21"/>
      <c r="H32" s="21"/>
      <c r="I32" s="18"/>
      <c r="J32" s="22"/>
      <c r="K32" s="23"/>
      <c r="L32" s="23"/>
      <c r="M32" s="24"/>
      <c r="N32" s="19"/>
      <c r="O32" s="25" t="str">
        <f aca="false">IF(OR(G32="",H32=""),"",H32-G32)</f>
        <v/>
      </c>
      <c r="P32" s="26" t="str">
        <f aca="false">IF(COUNTA(A32:N32)=0,"",IF(B32="","Falta el nombre",IF(C32="","Falta la cédula",IF(LEN(C32)&lt;&gt;10,"La cédula debe tener 10 dígitos",IF(F32="","Falta el tipo de plan",IF(G32="","Falta la fecha de inicio",IF(H32="","Falta la fecha de vencimiento",IF(O32&lt;=0,"El vencimiento debe ser posterior al inicio",IF(AND(F32&lt;&gt;"DIARIO",O32&lt;21),"Duración muy corta: revisar fechas",IF(O32&gt;400,"Duración mayor a 400 días: revisar fechas",IF(I32="","Falta la forma de pago",IF(L32="","Falta el monto cobrado","OK"))))))))))))</f>
        <v/>
      </c>
    </row>
    <row r="33" customFormat="false" ht="15" hidden="false" customHeight="false" outlineLevel="0" collapsed="false">
      <c r="A33" s="18"/>
      <c r="B33" s="19"/>
      <c r="C33" s="20"/>
      <c r="D33" s="20"/>
      <c r="E33" s="19"/>
      <c r="F33" s="18"/>
      <c r="G33" s="21"/>
      <c r="H33" s="21"/>
      <c r="I33" s="18"/>
      <c r="J33" s="22"/>
      <c r="K33" s="23"/>
      <c r="L33" s="23"/>
      <c r="M33" s="24"/>
      <c r="N33" s="19"/>
      <c r="O33" s="25" t="str">
        <f aca="false">IF(OR(G33="",H33=""),"",H33-G33)</f>
        <v/>
      </c>
      <c r="P33" s="26" t="str">
        <f aca="false">IF(COUNTA(A33:N33)=0,"",IF(B33="","Falta el nombre",IF(C33="","Falta la cédula",IF(LEN(C33)&lt;&gt;10,"La cédula debe tener 10 dígitos",IF(F33="","Falta el tipo de plan",IF(G33="","Falta la fecha de inicio",IF(H33="","Falta la fecha de vencimiento",IF(O33&lt;=0,"El vencimiento debe ser posterior al inicio",IF(AND(F33&lt;&gt;"DIARIO",O33&lt;21),"Duración muy corta: revisar fechas",IF(O33&gt;400,"Duración mayor a 400 días: revisar fechas",IF(I33="","Falta la forma de pago",IF(L33="","Falta el monto cobrado","OK"))))))))))))</f>
        <v/>
      </c>
    </row>
    <row r="34" customFormat="false" ht="15" hidden="false" customHeight="false" outlineLevel="0" collapsed="false">
      <c r="A34" s="18"/>
      <c r="B34" s="19"/>
      <c r="C34" s="20"/>
      <c r="D34" s="20"/>
      <c r="E34" s="19"/>
      <c r="F34" s="18"/>
      <c r="G34" s="21"/>
      <c r="H34" s="21"/>
      <c r="I34" s="18"/>
      <c r="J34" s="22"/>
      <c r="K34" s="23"/>
      <c r="L34" s="23"/>
      <c r="M34" s="24"/>
      <c r="N34" s="19"/>
      <c r="O34" s="25" t="str">
        <f aca="false">IF(OR(G34="",H34=""),"",H34-G34)</f>
        <v/>
      </c>
      <c r="P34" s="26" t="str">
        <f aca="false">IF(COUNTA(A34:N34)=0,"",IF(B34="","Falta el nombre",IF(C34="","Falta la cédula",IF(LEN(C34)&lt;&gt;10,"La cédula debe tener 10 dígitos",IF(F34="","Falta el tipo de plan",IF(G34="","Falta la fecha de inicio",IF(H34="","Falta la fecha de vencimiento",IF(O34&lt;=0,"El vencimiento debe ser posterior al inicio",IF(AND(F34&lt;&gt;"DIARIO",O34&lt;21),"Duración muy corta: revisar fechas",IF(O34&gt;400,"Duración mayor a 400 días: revisar fechas",IF(I34="","Falta la forma de pago",IF(L34="","Falta el monto cobrado","OK"))))))))))))</f>
        <v/>
      </c>
    </row>
    <row r="35" customFormat="false" ht="15" hidden="false" customHeight="false" outlineLevel="0" collapsed="false">
      <c r="A35" s="18"/>
      <c r="B35" s="19"/>
      <c r="C35" s="20"/>
      <c r="D35" s="20"/>
      <c r="E35" s="19"/>
      <c r="F35" s="18"/>
      <c r="G35" s="21"/>
      <c r="H35" s="21"/>
      <c r="I35" s="18"/>
      <c r="J35" s="22"/>
      <c r="K35" s="23"/>
      <c r="L35" s="23"/>
      <c r="M35" s="24"/>
      <c r="N35" s="19"/>
      <c r="O35" s="25" t="str">
        <f aca="false">IF(OR(G35="",H35=""),"",H35-G35)</f>
        <v/>
      </c>
      <c r="P35" s="26" t="str">
        <f aca="false">IF(COUNTA(A35:N35)=0,"",IF(B35="","Falta el nombre",IF(C35="","Falta la cédula",IF(LEN(C35)&lt;&gt;10,"La cédula debe tener 10 dígitos",IF(F35="","Falta el tipo de plan",IF(G35="","Falta la fecha de inicio",IF(H35="","Falta la fecha de vencimiento",IF(O35&lt;=0,"El vencimiento debe ser posterior al inicio",IF(AND(F35&lt;&gt;"DIARIO",O35&lt;21),"Duración muy corta: revisar fechas",IF(O35&gt;400,"Duración mayor a 400 días: revisar fechas",IF(I35="","Falta la forma de pago",IF(L35="","Falta el monto cobrado","OK"))))))))))))</f>
        <v/>
      </c>
    </row>
    <row r="36" customFormat="false" ht="15" hidden="false" customHeight="false" outlineLevel="0" collapsed="false">
      <c r="A36" s="18"/>
      <c r="B36" s="19"/>
      <c r="C36" s="20"/>
      <c r="D36" s="20"/>
      <c r="E36" s="19"/>
      <c r="F36" s="18"/>
      <c r="G36" s="21"/>
      <c r="H36" s="21"/>
      <c r="I36" s="18"/>
      <c r="J36" s="22"/>
      <c r="K36" s="23"/>
      <c r="L36" s="23"/>
      <c r="M36" s="24"/>
      <c r="N36" s="19"/>
      <c r="O36" s="25" t="str">
        <f aca="false">IF(OR(G36="",H36=""),"",H36-G36)</f>
        <v/>
      </c>
      <c r="P36" s="26" t="str">
        <f aca="false">IF(COUNTA(A36:N36)=0,"",IF(B36="","Falta el nombre",IF(C36="","Falta la cédula",IF(LEN(C36)&lt;&gt;10,"La cédula debe tener 10 dígitos",IF(F36="","Falta el tipo de plan",IF(G36="","Falta la fecha de inicio",IF(H36="","Falta la fecha de vencimiento",IF(O36&lt;=0,"El vencimiento debe ser posterior al inicio",IF(AND(F36&lt;&gt;"DIARIO",O36&lt;21),"Duración muy corta: revisar fechas",IF(O36&gt;400,"Duración mayor a 400 días: revisar fechas",IF(I36="","Falta la forma de pago",IF(L36="","Falta el monto cobrado","OK"))))))))))))</f>
        <v/>
      </c>
    </row>
    <row r="37" customFormat="false" ht="15" hidden="false" customHeight="false" outlineLevel="0" collapsed="false">
      <c r="A37" s="18"/>
      <c r="B37" s="19"/>
      <c r="C37" s="20"/>
      <c r="D37" s="20"/>
      <c r="E37" s="19"/>
      <c r="F37" s="18"/>
      <c r="G37" s="21"/>
      <c r="H37" s="21"/>
      <c r="I37" s="18"/>
      <c r="J37" s="22"/>
      <c r="K37" s="23"/>
      <c r="L37" s="23"/>
      <c r="M37" s="24"/>
      <c r="N37" s="19"/>
      <c r="O37" s="25" t="str">
        <f aca="false">IF(OR(G37="",H37=""),"",H37-G37)</f>
        <v/>
      </c>
      <c r="P37" s="26" t="str">
        <f aca="false">IF(COUNTA(A37:N37)=0,"",IF(B37="","Falta el nombre",IF(C37="","Falta la cédula",IF(LEN(C37)&lt;&gt;10,"La cédula debe tener 10 dígitos",IF(F37="","Falta el tipo de plan",IF(G37="","Falta la fecha de inicio",IF(H37="","Falta la fecha de vencimiento",IF(O37&lt;=0,"El vencimiento debe ser posterior al inicio",IF(AND(F37&lt;&gt;"DIARIO",O37&lt;21),"Duración muy corta: revisar fechas",IF(O37&gt;400,"Duración mayor a 400 días: revisar fechas",IF(I37="","Falta la forma de pago",IF(L37="","Falta el monto cobrado","OK"))))))))))))</f>
        <v/>
      </c>
    </row>
    <row r="38" customFormat="false" ht="15" hidden="false" customHeight="false" outlineLevel="0" collapsed="false">
      <c r="A38" s="18"/>
      <c r="B38" s="19"/>
      <c r="C38" s="20"/>
      <c r="D38" s="20"/>
      <c r="E38" s="19"/>
      <c r="F38" s="18"/>
      <c r="G38" s="21"/>
      <c r="H38" s="21"/>
      <c r="I38" s="18"/>
      <c r="J38" s="22"/>
      <c r="K38" s="23"/>
      <c r="L38" s="23"/>
      <c r="M38" s="24"/>
      <c r="N38" s="19"/>
      <c r="O38" s="25" t="str">
        <f aca="false">IF(OR(G38="",H38=""),"",H38-G38)</f>
        <v/>
      </c>
      <c r="P38" s="26" t="str">
        <f aca="false">IF(COUNTA(A38:N38)=0,"",IF(B38="","Falta el nombre",IF(C38="","Falta la cédula",IF(LEN(C38)&lt;&gt;10,"La cédula debe tener 10 dígitos",IF(F38="","Falta el tipo de plan",IF(G38="","Falta la fecha de inicio",IF(H38="","Falta la fecha de vencimiento",IF(O38&lt;=0,"El vencimiento debe ser posterior al inicio",IF(AND(F38&lt;&gt;"DIARIO",O38&lt;21),"Duración muy corta: revisar fechas",IF(O38&gt;400,"Duración mayor a 400 días: revisar fechas",IF(I38="","Falta la forma de pago",IF(L38="","Falta el monto cobrado","OK"))))))))))))</f>
        <v/>
      </c>
    </row>
    <row r="39" customFormat="false" ht="15" hidden="false" customHeight="false" outlineLevel="0" collapsed="false">
      <c r="A39" s="18"/>
      <c r="B39" s="19"/>
      <c r="C39" s="20"/>
      <c r="D39" s="20"/>
      <c r="E39" s="19"/>
      <c r="F39" s="18"/>
      <c r="G39" s="21"/>
      <c r="H39" s="21"/>
      <c r="I39" s="18"/>
      <c r="J39" s="22"/>
      <c r="K39" s="23"/>
      <c r="L39" s="23"/>
      <c r="M39" s="24"/>
      <c r="N39" s="19"/>
      <c r="O39" s="25" t="str">
        <f aca="false">IF(OR(G39="",H39=""),"",H39-G39)</f>
        <v/>
      </c>
      <c r="P39" s="26" t="str">
        <f aca="false">IF(COUNTA(A39:N39)=0,"",IF(B39="","Falta el nombre",IF(C39="","Falta la cédula",IF(LEN(C39)&lt;&gt;10,"La cédula debe tener 10 dígitos",IF(F39="","Falta el tipo de plan",IF(G39="","Falta la fecha de inicio",IF(H39="","Falta la fecha de vencimiento",IF(O39&lt;=0,"El vencimiento debe ser posterior al inicio",IF(AND(F39&lt;&gt;"DIARIO",O39&lt;21),"Duración muy corta: revisar fechas",IF(O39&gt;400,"Duración mayor a 400 días: revisar fechas",IF(I39="","Falta la forma de pago",IF(L39="","Falta el monto cobrado","OK"))))))))))))</f>
        <v/>
      </c>
    </row>
    <row r="40" customFormat="false" ht="15" hidden="false" customHeight="false" outlineLevel="0" collapsed="false">
      <c r="A40" s="18"/>
      <c r="B40" s="19"/>
      <c r="C40" s="20"/>
      <c r="D40" s="20"/>
      <c r="E40" s="19"/>
      <c r="F40" s="18"/>
      <c r="G40" s="21"/>
      <c r="H40" s="21"/>
      <c r="I40" s="18"/>
      <c r="J40" s="22"/>
      <c r="K40" s="23"/>
      <c r="L40" s="23"/>
      <c r="M40" s="24"/>
      <c r="N40" s="19"/>
      <c r="O40" s="25" t="str">
        <f aca="false">IF(OR(G40="",H40=""),"",H40-G40)</f>
        <v/>
      </c>
      <c r="P40" s="26" t="str">
        <f aca="false">IF(COUNTA(A40:N40)=0,"",IF(B40="","Falta el nombre",IF(C40="","Falta la cédula",IF(LEN(C40)&lt;&gt;10,"La cédula debe tener 10 dígitos",IF(F40="","Falta el tipo de plan",IF(G40="","Falta la fecha de inicio",IF(H40="","Falta la fecha de vencimiento",IF(O40&lt;=0,"El vencimiento debe ser posterior al inicio",IF(AND(F40&lt;&gt;"DIARIO",O40&lt;21),"Duración muy corta: revisar fechas",IF(O40&gt;400,"Duración mayor a 400 días: revisar fechas",IF(I40="","Falta la forma de pago",IF(L40="","Falta el monto cobrado","OK"))))))))))))</f>
        <v/>
      </c>
    </row>
    <row r="41" customFormat="false" ht="15" hidden="false" customHeight="false" outlineLevel="0" collapsed="false">
      <c r="A41" s="18"/>
      <c r="B41" s="19"/>
      <c r="C41" s="20"/>
      <c r="D41" s="20"/>
      <c r="E41" s="19"/>
      <c r="F41" s="18"/>
      <c r="G41" s="21"/>
      <c r="H41" s="21"/>
      <c r="I41" s="18"/>
      <c r="J41" s="22"/>
      <c r="K41" s="23"/>
      <c r="L41" s="23"/>
      <c r="M41" s="24"/>
      <c r="N41" s="19"/>
      <c r="O41" s="25" t="str">
        <f aca="false">IF(OR(G41="",H41=""),"",H41-G41)</f>
        <v/>
      </c>
      <c r="P41" s="26" t="str">
        <f aca="false">IF(COUNTA(A41:N41)=0,"",IF(B41="","Falta el nombre",IF(C41="","Falta la cédula",IF(LEN(C41)&lt;&gt;10,"La cédula debe tener 10 dígitos",IF(F41="","Falta el tipo de plan",IF(G41="","Falta la fecha de inicio",IF(H41="","Falta la fecha de vencimiento",IF(O41&lt;=0,"El vencimiento debe ser posterior al inicio",IF(AND(F41&lt;&gt;"DIARIO",O41&lt;21),"Duración muy corta: revisar fechas",IF(O41&gt;400,"Duración mayor a 400 días: revisar fechas",IF(I41="","Falta la forma de pago",IF(L41="","Falta el monto cobrado","OK"))))))))))))</f>
        <v/>
      </c>
    </row>
    <row r="42" customFormat="false" ht="15" hidden="false" customHeight="false" outlineLevel="0" collapsed="false">
      <c r="A42" s="18"/>
      <c r="B42" s="19"/>
      <c r="C42" s="20"/>
      <c r="D42" s="20"/>
      <c r="E42" s="19"/>
      <c r="F42" s="18"/>
      <c r="G42" s="21"/>
      <c r="H42" s="21"/>
      <c r="I42" s="18"/>
      <c r="J42" s="22"/>
      <c r="K42" s="23"/>
      <c r="L42" s="23"/>
      <c r="M42" s="24"/>
      <c r="N42" s="19"/>
      <c r="O42" s="25" t="str">
        <f aca="false">IF(OR(G42="",H42=""),"",H42-G42)</f>
        <v/>
      </c>
      <c r="P42" s="26" t="str">
        <f aca="false">IF(COUNTA(A42:N42)=0,"",IF(B42="","Falta el nombre",IF(C42="","Falta la cédula",IF(LEN(C42)&lt;&gt;10,"La cédula debe tener 10 dígitos",IF(F42="","Falta el tipo de plan",IF(G42="","Falta la fecha de inicio",IF(H42="","Falta la fecha de vencimiento",IF(O42&lt;=0,"El vencimiento debe ser posterior al inicio",IF(AND(F42&lt;&gt;"DIARIO",O42&lt;21),"Duración muy corta: revisar fechas",IF(O42&gt;400,"Duración mayor a 400 días: revisar fechas",IF(I42="","Falta la forma de pago",IF(L42="","Falta el monto cobrado","OK"))))))))))))</f>
        <v/>
      </c>
    </row>
    <row r="43" customFormat="false" ht="15" hidden="false" customHeight="false" outlineLevel="0" collapsed="false">
      <c r="A43" s="18"/>
      <c r="B43" s="19"/>
      <c r="C43" s="20"/>
      <c r="D43" s="20"/>
      <c r="E43" s="19"/>
      <c r="F43" s="18"/>
      <c r="G43" s="21"/>
      <c r="H43" s="21"/>
      <c r="I43" s="18"/>
      <c r="J43" s="22"/>
      <c r="K43" s="23"/>
      <c r="L43" s="23"/>
      <c r="M43" s="24"/>
      <c r="N43" s="19"/>
      <c r="O43" s="25" t="str">
        <f aca="false">IF(OR(G43="",H43=""),"",H43-G43)</f>
        <v/>
      </c>
      <c r="P43" s="26" t="str">
        <f aca="false">IF(COUNTA(A43:N43)=0,"",IF(B43="","Falta el nombre",IF(C43="","Falta la cédula",IF(LEN(C43)&lt;&gt;10,"La cédula debe tener 10 dígitos",IF(F43="","Falta el tipo de plan",IF(G43="","Falta la fecha de inicio",IF(H43="","Falta la fecha de vencimiento",IF(O43&lt;=0,"El vencimiento debe ser posterior al inicio",IF(AND(F43&lt;&gt;"DIARIO",O43&lt;21),"Duración muy corta: revisar fechas",IF(O43&gt;400,"Duración mayor a 400 días: revisar fechas",IF(I43="","Falta la forma de pago",IF(L43="","Falta el monto cobrado","OK"))))))))))))</f>
        <v/>
      </c>
    </row>
    <row r="44" customFormat="false" ht="15" hidden="false" customHeight="false" outlineLevel="0" collapsed="false">
      <c r="A44" s="18"/>
      <c r="B44" s="19"/>
      <c r="C44" s="20"/>
      <c r="D44" s="20"/>
      <c r="E44" s="19"/>
      <c r="F44" s="18"/>
      <c r="G44" s="21"/>
      <c r="H44" s="21"/>
      <c r="I44" s="18"/>
      <c r="J44" s="22"/>
      <c r="K44" s="23"/>
      <c r="L44" s="23"/>
      <c r="M44" s="24"/>
      <c r="N44" s="19"/>
      <c r="O44" s="25" t="str">
        <f aca="false">IF(OR(G44="",H44=""),"",H44-G44)</f>
        <v/>
      </c>
      <c r="P44" s="26" t="str">
        <f aca="false">IF(COUNTA(A44:N44)=0,"",IF(B44="","Falta el nombre",IF(C44="","Falta la cédula",IF(LEN(C44)&lt;&gt;10,"La cédula debe tener 10 dígitos",IF(F44="","Falta el tipo de plan",IF(G44="","Falta la fecha de inicio",IF(H44="","Falta la fecha de vencimiento",IF(O44&lt;=0,"El vencimiento debe ser posterior al inicio",IF(AND(F44&lt;&gt;"DIARIO",O44&lt;21),"Duración muy corta: revisar fechas",IF(O44&gt;400,"Duración mayor a 400 días: revisar fechas",IF(I44="","Falta la forma de pago",IF(L44="","Falta el monto cobrado","OK"))))))))))))</f>
        <v/>
      </c>
    </row>
    <row r="45" customFormat="false" ht="15" hidden="false" customHeight="false" outlineLevel="0" collapsed="false">
      <c r="A45" s="18"/>
      <c r="B45" s="19"/>
      <c r="C45" s="20"/>
      <c r="D45" s="20"/>
      <c r="E45" s="19"/>
      <c r="F45" s="18"/>
      <c r="G45" s="21"/>
      <c r="H45" s="21"/>
      <c r="I45" s="18"/>
      <c r="J45" s="22"/>
      <c r="K45" s="23"/>
      <c r="L45" s="23"/>
      <c r="M45" s="24"/>
      <c r="N45" s="19"/>
      <c r="O45" s="25" t="str">
        <f aca="false">IF(OR(G45="",H45=""),"",H45-G45)</f>
        <v/>
      </c>
      <c r="P45" s="26" t="str">
        <f aca="false">IF(COUNTA(A45:N45)=0,"",IF(B45="","Falta el nombre",IF(C45="","Falta la cédula",IF(LEN(C45)&lt;&gt;10,"La cédula debe tener 10 dígitos",IF(F45="","Falta el tipo de plan",IF(G45="","Falta la fecha de inicio",IF(H45="","Falta la fecha de vencimiento",IF(O45&lt;=0,"El vencimiento debe ser posterior al inicio",IF(AND(F45&lt;&gt;"DIARIO",O45&lt;21),"Duración muy corta: revisar fechas",IF(O45&gt;400,"Duración mayor a 400 días: revisar fechas",IF(I45="","Falta la forma de pago",IF(L45="","Falta el monto cobrado","OK"))))))))))))</f>
        <v/>
      </c>
    </row>
    <row r="46" customFormat="false" ht="15" hidden="false" customHeight="false" outlineLevel="0" collapsed="false">
      <c r="A46" s="18"/>
      <c r="B46" s="19"/>
      <c r="C46" s="20"/>
      <c r="D46" s="20"/>
      <c r="E46" s="19"/>
      <c r="F46" s="18"/>
      <c r="G46" s="21"/>
      <c r="H46" s="21"/>
      <c r="I46" s="18"/>
      <c r="J46" s="22"/>
      <c r="K46" s="23"/>
      <c r="L46" s="23"/>
      <c r="M46" s="24"/>
      <c r="N46" s="19"/>
      <c r="O46" s="25" t="str">
        <f aca="false">IF(OR(G46="",H46=""),"",H46-G46)</f>
        <v/>
      </c>
      <c r="P46" s="26" t="str">
        <f aca="false">IF(COUNTA(A46:N46)=0,"",IF(B46="","Falta el nombre",IF(C46="","Falta la cédula",IF(LEN(C46)&lt;&gt;10,"La cédula debe tener 10 dígitos",IF(F46="","Falta el tipo de plan",IF(G46="","Falta la fecha de inicio",IF(H46="","Falta la fecha de vencimiento",IF(O46&lt;=0,"El vencimiento debe ser posterior al inicio",IF(AND(F46&lt;&gt;"DIARIO",O46&lt;21),"Duración muy corta: revisar fechas",IF(O46&gt;400,"Duración mayor a 400 días: revisar fechas",IF(I46="","Falta la forma de pago",IF(L46="","Falta el monto cobrado","OK"))))))))))))</f>
        <v/>
      </c>
    </row>
    <row r="47" customFormat="false" ht="15" hidden="false" customHeight="false" outlineLevel="0" collapsed="false">
      <c r="A47" s="18"/>
      <c r="B47" s="19"/>
      <c r="C47" s="20"/>
      <c r="D47" s="20"/>
      <c r="E47" s="19"/>
      <c r="F47" s="18"/>
      <c r="G47" s="21"/>
      <c r="H47" s="21"/>
      <c r="I47" s="18"/>
      <c r="J47" s="22"/>
      <c r="K47" s="23"/>
      <c r="L47" s="23"/>
      <c r="M47" s="24"/>
      <c r="N47" s="19"/>
      <c r="O47" s="25" t="str">
        <f aca="false">IF(OR(G47="",H47=""),"",H47-G47)</f>
        <v/>
      </c>
      <c r="P47" s="26" t="str">
        <f aca="false">IF(COUNTA(A47:N47)=0,"",IF(B47="","Falta el nombre",IF(C47="","Falta la cédula",IF(LEN(C47)&lt;&gt;10,"La cédula debe tener 10 dígitos",IF(F47="","Falta el tipo de plan",IF(G47="","Falta la fecha de inicio",IF(H47="","Falta la fecha de vencimiento",IF(O47&lt;=0,"El vencimiento debe ser posterior al inicio",IF(AND(F47&lt;&gt;"DIARIO",O47&lt;21),"Duración muy corta: revisar fechas",IF(O47&gt;400,"Duración mayor a 400 días: revisar fechas",IF(I47="","Falta la forma de pago",IF(L47="","Falta el monto cobrado","OK"))))))))))))</f>
        <v/>
      </c>
    </row>
    <row r="48" customFormat="false" ht="15" hidden="false" customHeight="false" outlineLevel="0" collapsed="false">
      <c r="A48" s="18"/>
      <c r="B48" s="19"/>
      <c r="C48" s="20"/>
      <c r="D48" s="20"/>
      <c r="E48" s="19"/>
      <c r="F48" s="18"/>
      <c r="G48" s="21"/>
      <c r="H48" s="21"/>
      <c r="I48" s="18"/>
      <c r="J48" s="22"/>
      <c r="K48" s="23"/>
      <c r="L48" s="23"/>
      <c r="M48" s="24"/>
      <c r="N48" s="19"/>
      <c r="O48" s="25" t="str">
        <f aca="false">IF(OR(G48="",H48=""),"",H48-G48)</f>
        <v/>
      </c>
      <c r="P48" s="26" t="str">
        <f aca="false">IF(COUNTA(A48:N48)=0,"",IF(B48="","Falta el nombre",IF(C48="","Falta la cédula",IF(LEN(C48)&lt;&gt;10,"La cédula debe tener 10 dígitos",IF(F48="","Falta el tipo de plan",IF(G48="","Falta la fecha de inicio",IF(H48="","Falta la fecha de vencimiento",IF(O48&lt;=0,"El vencimiento debe ser posterior al inicio",IF(AND(F48&lt;&gt;"DIARIO",O48&lt;21),"Duración muy corta: revisar fechas",IF(O48&gt;400,"Duración mayor a 400 días: revisar fechas",IF(I48="","Falta la forma de pago",IF(L48="","Falta el monto cobrado","OK"))))))))))))</f>
        <v/>
      </c>
    </row>
    <row r="49" customFormat="false" ht="15" hidden="false" customHeight="false" outlineLevel="0" collapsed="false">
      <c r="A49" s="18"/>
      <c r="B49" s="19"/>
      <c r="C49" s="20"/>
      <c r="D49" s="20"/>
      <c r="E49" s="19"/>
      <c r="F49" s="18"/>
      <c r="G49" s="21"/>
      <c r="H49" s="21"/>
      <c r="I49" s="18"/>
      <c r="J49" s="22"/>
      <c r="K49" s="23"/>
      <c r="L49" s="23"/>
      <c r="M49" s="24"/>
      <c r="N49" s="19"/>
      <c r="O49" s="25" t="str">
        <f aca="false">IF(OR(G49="",H49=""),"",H49-G49)</f>
        <v/>
      </c>
      <c r="P49" s="26" t="str">
        <f aca="false">IF(COUNTA(A49:N49)=0,"",IF(B49="","Falta el nombre",IF(C49="","Falta la cédula",IF(LEN(C49)&lt;&gt;10,"La cédula debe tener 10 dígitos",IF(F49="","Falta el tipo de plan",IF(G49="","Falta la fecha de inicio",IF(H49="","Falta la fecha de vencimiento",IF(O49&lt;=0,"El vencimiento debe ser posterior al inicio",IF(AND(F49&lt;&gt;"DIARIO",O49&lt;21),"Duración muy corta: revisar fechas",IF(O49&gt;400,"Duración mayor a 400 días: revisar fechas",IF(I49="","Falta la forma de pago",IF(L49="","Falta el monto cobrado","OK"))))))))))))</f>
        <v/>
      </c>
    </row>
    <row r="50" customFormat="false" ht="15" hidden="false" customHeight="false" outlineLevel="0" collapsed="false">
      <c r="A50" s="18"/>
      <c r="B50" s="19"/>
      <c r="C50" s="20"/>
      <c r="D50" s="20"/>
      <c r="E50" s="19"/>
      <c r="F50" s="18"/>
      <c r="G50" s="21"/>
      <c r="H50" s="21"/>
      <c r="I50" s="18"/>
      <c r="J50" s="22"/>
      <c r="K50" s="23"/>
      <c r="L50" s="23"/>
      <c r="M50" s="24"/>
      <c r="N50" s="19"/>
      <c r="O50" s="25" t="str">
        <f aca="false">IF(OR(G50="",H50=""),"",H50-G50)</f>
        <v/>
      </c>
      <c r="P50" s="26" t="str">
        <f aca="false">IF(COUNTA(A50:N50)=0,"",IF(B50="","Falta el nombre",IF(C50="","Falta la cédula",IF(LEN(C50)&lt;&gt;10,"La cédula debe tener 10 dígitos",IF(F50="","Falta el tipo de plan",IF(G50="","Falta la fecha de inicio",IF(H50="","Falta la fecha de vencimiento",IF(O50&lt;=0,"El vencimiento debe ser posterior al inicio",IF(AND(F50&lt;&gt;"DIARIO",O50&lt;21),"Duración muy corta: revisar fechas",IF(O50&gt;400,"Duración mayor a 400 días: revisar fechas",IF(I50="","Falta la forma de pago",IF(L50="","Falta el monto cobrado","OK"))))))))))))</f>
        <v/>
      </c>
    </row>
    <row r="51" customFormat="false" ht="15" hidden="false" customHeight="false" outlineLevel="0" collapsed="false">
      <c r="A51" s="18"/>
      <c r="B51" s="19"/>
      <c r="C51" s="20"/>
      <c r="D51" s="20"/>
      <c r="E51" s="19"/>
      <c r="F51" s="18"/>
      <c r="G51" s="21"/>
      <c r="H51" s="21"/>
      <c r="I51" s="18"/>
      <c r="J51" s="22"/>
      <c r="K51" s="23"/>
      <c r="L51" s="23"/>
      <c r="M51" s="24"/>
      <c r="N51" s="19"/>
      <c r="O51" s="25" t="str">
        <f aca="false">IF(OR(G51="",H51=""),"",H51-G51)</f>
        <v/>
      </c>
      <c r="P51" s="26" t="str">
        <f aca="false">IF(COUNTA(A51:N51)=0,"",IF(B51="","Falta el nombre",IF(C51="","Falta la cédula",IF(LEN(C51)&lt;&gt;10,"La cédula debe tener 10 dígitos",IF(F51="","Falta el tipo de plan",IF(G51="","Falta la fecha de inicio",IF(H51="","Falta la fecha de vencimiento",IF(O51&lt;=0,"El vencimiento debe ser posterior al inicio",IF(AND(F51&lt;&gt;"DIARIO",O51&lt;21),"Duración muy corta: revisar fechas",IF(O51&gt;400,"Duración mayor a 400 días: revisar fechas",IF(I51="","Falta la forma de pago",IF(L51="","Falta el monto cobrado","OK"))))))))))))</f>
        <v/>
      </c>
    </row>
    <row r="52" customFormat="false" ht="15" hidden="false" customHeight="false" outlineLevel="0" collapsed="false">
      <c r="A52" s="18"/>
      <c r="B52" s="19"/>
      <c r="C52" s="20"/>
      <c r="D52" s="20"/>
      <c r="E52" s="19"/>
      <c r="F52" s="18"/>
      <c r="G52" s="21"/>
      <c r="H52" s="21"/>
      <c r="I52" s="18"/>
      <c r="J52" s="22"/>
      <c r="K52" s="23"/>
      <c r="L52" s="23"/>
      <c r="M52" s="24"/>
      <c r="N52" s="19"/>
      <c r="O52" s="25" t="str">
        <f aca="false">IF(OR(G52="",H52=""),"",H52-G52)</f>
        <v/>
      </c>
      <c r="P52" s="26" t="str">
        <f aca="false">IF(COUNTA(A52:N52)=0,"",IF(B52="","Falta el nombre",IF(C52="","Falta la cédula",IF(LEN(C52)&lt;&gt;10,"La cédula debe tener 10 dígitos",IF(F52="","Falta el tipo de plan",IF(G52="","Falta la fecha de inicio",IF(H52="","Falta la fecha de vencimiento",IF(O52&lt;=0,"El vencimiento debe ser posterior al inicio",IF(AND(F52&lt;&gt;"DIARIO",O52&lt;21),"Duración muy corta: revisar fechas",IF(O52&gt;400,"Duración mayor a 400 días: revisar fechas",IF(I52="","Falta la forma de pago",IF(L52="","Falta el monto cobrado","OK"))))))))))))</f>
        <v/>
      </c>
    </row>
    <row r="53" customFormat="false" ht="15" hidden="false" customHeight="false" outlineLevel="0" collapsed="false">
      <c r="A53" s="18"/>
      <c r="B53" s="19"/>
      <c r="C53" s="20"/>
      <c r="D53" s="20"/>
      <c r="E53" s="19"/>
      <c r="F53" s="18"/>
      <c r="G53" s="21"/>
      <c r="H53" s="21"/>
      <c r="I53" s="18"/>
      <c r="J53" s="22"/>
      <c r="K53" s="23"/>
      <c r="L53" s="23"/>
      <c r="M53" s="24"/>
      <c r="N53" s="19"/>
      <c r="O53" s="25" t="str">
        <f aca="false">IF(OR(G53="",H53=""),"",H53-G53)</f>
        <v/>
      </c>
      <c r="P53" s="26" t="str">
        <f aca="false">IF(COUNTA(A53:N53)=0,"",IF(B53="","Falta el nombre",IF(C53="","Falta la cédula",IF(LEN(C53)&lt;&gt;10,"La cédula debe tener 10 dígitos",IF(F53="","Falta el tipo de plan",IF(G53="","Falta la fecha de inicio",IF(H53="","Falta la fecha de vencimiento",IF(O53&lt;=0,"El vencimiento debe ser posterior al inicio",IF(AND(F53&lt;&gt;"DIARIO",O53&lt;21),"Duración muy corta: revisar fechas",IF(O53&gt;400,"Duración mayor a 400 días: revisar fechas",IF(I53="","Falta la forma de pago",IF(L53="","Falta el monto cobrado","OK"))))))))))))</f>
        <v/>
      </c>
    </row>
    <row r="54" customFormat="false" ht="15" hidden="false" customHeight="false" outlineLevel="0" collapsed="false">
      <c r="A54" s="18"/>
      <c r="B54" s="19"/>
      <c r="C54" s="20"/>
      <c r="D54" s="20"/>
      <c r="E54" s="19"/>
      <c r="F54" s="18"/>
      <c r="G54" s="21"/>
      <c r="H54" s="21"/>
      <c r="I54" s="18"/>
      <c r="J54" s="22"/>
      <c r="K54" s="23"/>
      <c r="L54" s="23"/>
      <c r="M54" s="24"/>
      <c r="N54" s="19"/>
      <c r="O54" s="25" t="str">
        <f aca="false">IF(OR(G54="",H54=""),"",H54-G54)</f>
        <v/>
      </c>
      <c r="P54" s="26" t="str">
        <f aca="false">IF(COUNTA(A54:N54)=0,"",IF(B54="","Falta el nombre",IF(C54="","Falta la cédula",IF(LEN(C54)&lt;&gt;10,"La cédula debe tener 10 dígitos",IF(F54="","Falta el tipo de plan",IF(G54="","Falta la fecha de inicio",IF(H54="","Falta la fecha de vencimiento",IF(O54&lt;=0,"El vencimiento debe ser posterior al inicio",IF(AND(F54&lt;&gt;"DIARIO",O54&lt;21),"Duración muy corta: revisar fechas",IF(O54&gt;400,"Duración mayor a 400 días: revisar fechas",IF(I54="","Falta la forma de pago",IF(L54="","Falta el monto cobrado","OK"))))))))))))</f>
        <v/>
      </c>
    </row>
    <row r="55" customFormat="false" ht="15" hidden="false" customHeight="false" outlineLevel="0" collapsed="false">
      <c r="A55" s="18"/>
      <c r="B55" s="19"/>
      <c r="C55" s="20"/>
      <c r="D55" s="20"/>
      <c r="E55" s="19"/>
      <c r="F55" s="18"/>
      <c r="G55" s="21"/>
      <c r="H55" s="21"/>
      <c r="I55" s="18"/>
      <c r="J55" s="22"/>
      <c r="K55" s="23"/>
      <c r="L55" s="23"/>
      <c r="M55" s="24"/>
      <c r="N55" s="19"/>
      <c r="O55" s="25" t="str">
        <f aca="false">IF(OR(G55="",H55=""),"",H55-G55)</f>
        <v/>
      </c>
      <c r="P55" s="26" t="str">
        <f aca="false">IF(COUNTA(A55:N55)=0,"",IF(B55="","Falta el nombre",IF(C55="","Falta la cédula",IF(LEN(C55)&lt;&gt;10,"La cédula debe tener 10 dígitos",IF(F55="","Falta el tipo de plan",IF(G55="","Falta la fecha de inicio",IF(H55="","Falta la fecha de vencimiento",IF(O55&lt;=0,"El vencimiento debe ser posterior al inicio",IF(AND(F55&lt;&gt;"DIARIO",O55&lt;21),"Duración muy corta: revisar fechas",IF(O55&gt;400,"Duración mayor a 400 días: revisar fechas",IF(I55="","Falta la forma de pago",IF(L55="","Falta el monto cobrado","OK"))))))))))))</f>
        <v/>
      </c>
    </row>
    <row r="56" customFormat="false" ht="15" hidden="false" customHeight="false" outlineLevel="0" collapsed="false">
      <c r="A56" s="18"/>
      <c r="B56" s="19"/>
      <c r="C56" s="20"/>
      <c r="D56" s="20"/>
      <c r="E56" s="19"/>
      <c r="F56" s="18"/>
      <c r="G56" s="21"/>
      <c r="H56" s="21"/>
      <c r="I56" s="18"/>
      <c r="J56" s="22"/>
      <c r="K56" s="23"/>
      <c r="L56" s="23"/>
      <c r="M56" s="24"/>
      <c r="N56" s="19"/>
      <c r="O56" s="25" t="str">
        <f aca="false">IF(OR(G56="",H56=""),"",H56-G56)</f>
        <v/>
      </c>
      <c r="P56" s="26" t="str">
        <f aca="false">IF(COUNTA(A56:N56)=0,"",IF(B56="","Falta el nombre",IF(C56="","Falta la cédula",IF(LEN(C56)&lt;&gt;10,"La cédula debe tener 10 dígitos",IF(F56="","Falta el tipo de plan",IF(G56="","Falta la fecha de inicio",IF(H56="","Falta la fecha de vencimiento",IF(O56&lt;=0,"El vencimiento debe ser posterior al inicio",IF(AND(F56&lt;&gt;"DIARIO",O56&lt;21),"Duración muy corta: revisar fechas",IF(O56&gt;400,"Duración mayor a 400 días: revisar fechas",IF(I56="","Falta la forma de pago",IF(L56="","Falta el monto cobrado","OK"))))))))))))</f>
        <v/>
      </c>
    </row>
    <row r="57" customFormat="false" ht="15" hidden="false" customHeight="false" outlineLevel="0" collapsed="false">
      <c r="A57" s="18"/>
      <c r="B57" s="19"/>
      <c r="C57" s="20"/>
      <c r="D57" s="20"/>
      <c r="E57" s="19"/>
      <c r="F57" s="18"/>
      <c r="G57" s="21"/>
      <c r="H57" s="21"/>
      <c r="I57" s="18"/>
      <c r="J57" s="22"/>
      <c r="K57" s="23"/>
      <c r="L57" s="23"/>
      <c r="M57" s="24"/>
      <c r="N57" s="19"/>
      <c r="O57" s="25" t="str">
        <f aca="false">IF(OR(G57="",H57=""),"",H57-G57)</f>
        <v/>
      </c>
      <c r="P57" s="26" t="str">
        <f aca="false">IF(COUNTA(A57:N57)=0,"",IF(B57="","Falta el nombre",IF(C57="","Falta la cédula",IF(LEN(C57)&lt;&gt;10,"La cédula debe tener 10 dígitos",IF(F57="","Falta el tipo de plan",IF(G57="","Falta la fecha de inicio",IF(H57="","Falta la fecha de vencimiento",IF(O57&lt;=0,"El vencimiento debe ser posterior al inicio",IF(AND(F57&lt;&gt;"DIARIO",O57&lt;21),"Duración muy corta: revisar fechas",IF(O57&gt;400,"Duración mayor a 400 días: revisar fechas",IF(I57="","Falta la forma de pago",IF(L57="","Falta el monto cobrado","OK"))))))))))))</f>
        <v/>
      </c>
    </row>
    <row r="58" customFormat="false" ht="15" hidden="false" customHeight="false" outlineLevel="0" collapsed="false">
      <c r="A58" s="18"/>
      <c r="B58" s="19"/>
      <c r="C58" s="20"/>
      <c r="D58" s="20"/>
      <c r="E58" s="19"/>
      <c r="F58" s="18"/>
      <c r="G58" s="21"/>
      <c r="H58" s="21"/>
      <c r="I58" s="18"/>
      <c r="J58" s="22"/>
      <c r="K58" s="23"/>
      <c r="L58" s="23"/>
      <c r="M58" s="24"/>
      <c r="N58" s="19"/>
      <c r="O58" s="25" t="str">
        <f aca="false">IF(OR(G58="",H58=""),"",H58-G58)</f>
        <v/>
      </c>
      <c r="P58" s="26" t="str">
        <f aca="false">IF(COUNTA(A58:N58)=0,"",IF(B58="","Falta el nombre",IF(C58="","Falta la cédula",IF(LEN(C58)&lt;&gt;10,"La cédula debe tener 10 dígitos",IF(F58="","Falta el tipo de plan",IF(G58="","Falta la fecha de inicio",IF(H58="","Falta la fecha de vencimiento",IF(O58&lt;=0,"El vencimiento debe ser posterior al inicio",IF(AND(F58&lt;&gt;"DIARIO",O58&lt;21),"Duración muy corta: revisar fechas",IF(O58&gt;400,"Duración mayor a 400 días: revisar fechas",IF(I58="","Falta la forma de pago",IF(L58="","Falta el monto cobrado","OK"))))))))))))</f>
        <v/>
      </c>
    </row>
    <row r="59" customFormat="false" ht="15" hidden="false" customHeight="false" outlineLevel="0" collapsed="false">
      <c r="A59" s="18"/>
      <c r="B59" s="19"/>
      <c r="C59" s="20"/>
      <c r="D59" s="20"/>
      <c r="E59" s="19"/>
      <c r="F59" s="18"/>
      <c r="G59" s="21"/>
      <c r="H59" s="21"/>
      <c r="I59" s="18"/>
      <c r="J59" s="22"/>
      <c r="K59" s="23"/>
      <c r="L59" s="23"/>
      <c r="M59" s="24"/>
      <c r="N59" s="19"/>
      <c r="O59" s="25" t="str">
        <f aca="false">IF(OR(G59="",H59=""),"",H59-G59)</f>
        <v/>
      </c>
      <c r="P59" s="26" t="str">
        <f aca="false">IF(COUNTA(A59:N59)=0,"",IF(B59="","Falta el nombre",IF(C59="","Falta la cédula",IF(LEN(C59)&lt;&gt;10,"La cédula debe tener 10 dígitos",IF(F59="","Falta el tipo de plan",IF(G59="","Falta la fecha de inicio",IF(H59="","Falta la fecha de vencimiento",IF(O59&lt;=0,"El vencimiento debe ser posterior al inicio",IF(AND(F59&lt;&gt;"DIARIO",O59&lt;21),"Duración muy corta: revisar fechas",IF(O59&gt;400,"Duración mayor a 400 días: revisar fechas",IF(I59="","Falta la forma de pago",IF(L59="","Falta el monto cobrado","OK"))))))))))))</f>
        <v/>
      </c>
    </row>
    <row r="60" customFormat="false" ht="15" hidden="false" customHeight="false" outlineLevel="0" collapsed="false">
      <c r="A60" s="18"/>
      <c r="B60" s="19"/>
      <c r="C60" s="20"/>
      <c r="D60" s="20"/>
      <c r="E60" s="19"/>
      <c r="F60" s="18"/>
      <c r="G60" s="21"/>
      <c r="H60" s="21"/>
      <c r="I60" s="18"/>
      <c r="J60" s="22"/>
      <c r="K60" s="23"/>
      <c r="L60" s="23"/>
      <c r="M60" s="24"/>
      <c r="N60" s="19"/>
      <c r="O60" s="25" t="str">
        <f aca="false">IF(OR(G60="",H60=""),"",H60-G60)</f>
        <v/>
      </c>
      <c r="P60" s="26" t="str">
        <f aca="false">IF(COUNTA(A60:N60)=0,"",IF(B60="","Falta el nombre",IF(C60="","Falta la cédula",IF(LEN(C60)&lt;&gt;10,"La cédula debe tener 10 dígitos",IF(F60="","Falta el tipo de plan",IF(G60="","Falta la fecha de inicio",IF(H60="","Falta la fecha de vencimiento",IF(O60&lt;=0,"El vencimiento debe ser posterior al inicio",IF(AND(F60&lt;&gt;"DIARIO",O60&lt;21),"Duración muy corta: revisar fechas",IF(O60&gt;400,"Duración mayor a 400 días: revisar fechas",IF(I60="","Falta la forma de pago",IF(L60="","Falta el monto cobrado","OK"))))))))))))</f>
        <v/>
      </c>
    </row>
    <row r="61" customFormat="false" ht="15" hidden="false" customHeight="false" outlineLevel="0" collapsed="false">
      <c r="A61" s="18"/>
      <c r="B61" s="19"/>
      <c r="C61" s="20"/>
      <c r="D61" s="20"/>
      <c r="E61" s="19"/>
      <c r="F61" s="18"/>
      <c r="G61" s="21"/>
      <c r="H61" s="21"/>
      <c r="I61" s="18"/>
      <c r="J61" s="22"/>
      <c r="K61" s="23"/>
      <c r="L61" s="23"/>
      <c r="M61" s="24"/>
      <c r="N61" s="19"/>
      <c r="O61" s="25" t="str">
        <f aca="false">IF(OR(G61="",H61=""),"",H61-G61)</f>
        <v/>
      </c>
      <c r="P61" s="26" t="str">
        <f aca="false">IF(COUNTA(A61:N61)=0,"",IF(B61="","Falta el nombre",IF(C61="","Falta la cédula",IF(LEN(C61)&lt;&gt;10,"La cédula debe tener 10 dígitos",IF(F61="","Falta el tipo de plan",IF(G61="","Falta la fecha de inicio",IF(H61="","Falta la fecha de vencimiento",IF(O61&lt;=0,"El vencimiento debe ser posterior al inicio",IF(AND(F61&lt;&gt;"DIARIO",O61&lt;21),"Duración muy corta: revisar fechas",IF(O61&gt;400,"Duración mayor a 400 días: revisar fechas",IF(I61="","Falta la forma de pago",IF(L61="","Falta el monto cobrado","OK"))))))))))))</f>
        <v/>
      </c>
    </row>
    <row r="62" customFormat="false" ht="15" hidden="false" customHeight="false" outlineLevel="0" collapsed="false">
      <c r="A62" s="18"/>
      <c r="B62" s="19"/>
      <c r="C62" s="20"/>
      <c r="D62" s="20"/>
      <c r="E62" s="19"/>
      <c r="F62" s="18"/>
      <c r="G62" s="21"/>
      <c r="H62" s="21"/>
      <c r="I62" s="18"/>
      <c r="J62" s="22"/>
      <c r="K62" s="23"/>
      <c r="L62" s="23"/>
      <c r="M62" s="24"/>
      <c r="N62" s="19"/>
      <c r="O62" s="25" t="str">
        <f aca="false">IF(OR(G62="",H62=""),"",H62-G62)</f>
        <v/>
      </c>
      <c r="P62" s="26" t="str">
        <f aca="false">IF(COUNTA(A62:N62)=0,"",IF(B62="","Falta el nombre",IF(C62="","Falta la cédula",IF(LEN(C62)&lt;&gt;10,"La cédula debe tener 10 dígitos",IF(F62="","Falta el tipo de plan",IF(G62="","Falta la fecha de inicio",IF(H62="","Falta la fecha de vencimiento",IF(O62&lt;=0,"El vencimiento debe ser posterior al inicio",IF(AND(F62&lt;&gt;"DIARIO",O62&lt;21),"Duración muy corta: revisar fechas",IF(O62&gt;400,"Duración mayor a 400 días: revisar fechas",IF(I62="","Falta la forma de pago",IF(L62="","Falta el monto cobrado","OK"))))))))))))</f>
        <v/>
      </c>
    </row>
    <row r="63" customFormat="false" ht="15" hidden="false" customHeight="false" outlineLevel="0" collapsed="false">
      <c r="A63" s="18"/>
      <c r="B63" s="19"/>
      <c r="C63" s="20"/>
      <c r="D63" s="20"/>
      <c r="E63" s="19"/>
      <c r="F63" s="18"/>
      <c r="G63" s="21"/>
      <c r="H63" s="21"/>
      <c r="I63" s="18"/>
      <c r="J63" s="22"/>
      <c r="K63" s="23"/>
      <c r="L63" s="23"/>
      <c r="M63" s="24"/>
      <c r="N63" s="19"/>
      <c r="O63" s="25" t="str">
        <f aca="false">IF(OR(G63="",H63=""),"",H63-G63)</f>
        <v/>
      </c>
      <c r="P63" s="26" t="str">
        <f aca="false">IF(COUNTA(A63:N63)=0,"",IF(B63="","Falta el nombre",IF(C63="","Falta la cédula",IF(LEN(C63)&lt;&gt;10,"La cédula debe tener 10 dígitos",IF(F63="","Falta el tipo de plan",IF(G63="","Falta la fecha de inicio",IF(H63="","Falta la fecha de vencimiento",IF(O63&lt;=0,"El vencimiento debe ser posterior al inicio",IF(AND(F63&lt;&gt;"DIARIO",O63&lt;21),"Duración muy corta: revisar fechas",IF(O63&gt;400,"Duración mayor a 400 días: revisar fechas",IF(I63="","Falta la forma de pago",IF(L63="","Falta el monto cobrado","OK"))))))))))))</f>
        <v/>
      </c>
    </row>
    <row r="64" customFormat="false" ht="15" hidden="false" customHeight="false" outlineLevel="0" collapsed="false">
      <c r="A64" s="18"/>
      <c r="B64" s="19"/>
      <c r="C64" s="20"/>
      <c r="D64" s="20"/>
      <c r="E64" s="19"/>
      <c r="F64" s="18"/>
      <c r="G64" s="21"/>
      <c r="H64" s="21"/>
      <c r="I64" s="18"/>
      <c r="J64" s="22"/>
      <c r="K64" s="23"/>
      <c r="L64" s="23"/>
      <c r="M64" s="24"/>
      <c r="N64" s="19"/>
      <c r="O64" s="25" t="str">
        <f aca="false">IF(OR(G64="",H64=""),"",H64-G64)</f>
        <v/>
      </c>
      <c r="P64" s="26" t="str">
        <f aca="false">IF(COUNTA(A64:N64)=0,"",IF(B64="","Falta el nombre",IF(C64="","Falta la cédula",IF(LEN(C64)&lt;&gt;10,"La cédula debe tener 10 dígitos",IF(F64="","Falta el tipo de plan",IF(G64="","Falta la fecha de inicio",IF(H64="","Falta la fecha de vencimiento",IF(O64&lt;=0,"El vencimiento debe ser posterior al inicio",IF(AND(F64&lt;&gt;"DIARIO",O64&lt;21),"Duración muy corta: revisar fechas",IF(O64&gt;400,"Duración mayor a 400 días: revisar fechas",IF(I64="","Falta la forma de pago",IF(L64="","Falta el monto cobrado","OK"))))))))))))</f>
        <v/>
      </c>
    </row>
    <row r="65" customFormat="false" ht="15" hidden="false" customHeight="false" outlineLevel="0" collapsed="false">
      <c r="A65" s="18"/>
      <c r="B65" s="19"/>
      <c r="C65" s="20"/>
      <c r="D65" s="20"/>
      <c r="E65" s="19"/>
      <c r="F65" s="18"/>
      <c r="G65" s="21"/>
      <c r="H65" s="21"/>
      <c r="I65" s="18"/>
      <c r="J65" s="22"/>
      <c r="K65" s="23"/>
      <c r="L65" s="23"/>
      <c r="M65" s="24"/>
      <c r="N65" s="19"/>
      <c r="O65" s="25" t="str">
        <f aca="false">IF(OR(G65="",H65=""),"",H65-G65)</f>
        <v/>
      </c>
      <c r="P65" s="26" t="str">
        <f aca="false">IF(COUNTA(A65:N65)=0,"",IF(B65="","Falta el nombre",IF(C65="","Falta la cédula",IF(LEN(C65)&lt;&gt;10,"La cédula debe tener 10 dígitos",IF(F65="","Falta el tipo de plan",IF(G65="","Falta la fecha de inicio",IF(H65="","Falta la fecha de vencimiento",IF(O65&lt;=0,"El vencimiento debe ser posterior al inicio",IF(AND(F65&lt;&gt;"DIARIO",O65&lt;21),"Duración muy corta: revisar fechas",IF(O65&gt;400,"Duración mayor a 400 días: revisar fechas",IF(I65="","Falta la forma de pago",IF(L65="","Falta el monto cobrado","OK"))))))))))))</f>
        <v/>
      </c>
    </row>
    <row r="66" customFormat="false" ht="15" hidden="false" customHeight="false" outlineLevel="0" collapsed="false">
      <c r="A66" s="18"/>
      <c r="B66" s="19"/>
      <c r="C66" s="20"/>
      <c r="D66" s="20"/>
      <c r="E66" s="19"/>
      <c r="F66" s="18"/>
      <c r="G66" s="21"/>
      <c r="H66" s="21"/>
      <c r="I66" s="18"/>
      <c r="J66" s="22"/>
      <c r="K66" s="23"/>
      <c r="L66" s="23"/>
      <c r="M66" s="24"/>
      <c r="N66" s="19"/>
      <c r="O66" s="25" t="str">
        <f aca="false">IF(OR(G66="",H66=""),"",H66-G66)</f>
        <v/>
      </c>
      <c r="P66" s="26" t="str">
        <f aca="false">IF(COUNTA(A66:N66)=0,"",IF(B66="","Falta el nombre",IF(C66="","Falta la cédula",IF(LEN(C66)&lt;&gt;10,"La cédula debe tener 10 dígitos",IF(F66="","Falta el tipo de plan",IF(G66="","Falta la fecha de inicio",IF(H66="","Falta la fecha de vencimiento",IF(O66&lt;=0,"El vencimiento debe ser posterior al inicio",IF(AND(F66&lt;&gt;"DIARIO",O66&lt;21),"Duración muy corta: revisar fechas",IF(O66&gt;400,"Duración mayor a 400 días: revisar fechas",IF(I66="","Falta la forma de pago",IF(L66="","Falta el monto cobrado","OK"))))))))))))</f>
        <v/>
      </c>
    </row>
    <row r="67" customFormat="false" ht="15" hidden="false" customHeight="false" outlineLevel="0" collapsed="false">
      <c r="A67" s="18"/>
      <c r="B67" s="19"/>
      <c r="C67" s="20"/>
      <c r="D67" s="20"/>
      <c r="E67" s="19"/>
      <c r="F67" s="18"/>
      <c r="G67" s="21"/>
      <c r="H67" s="21"/>
      <c r="I67" s="18"/>
      <c r="J67" s="22"/>
      <c r="K67" s="23"/>
      <c r="L67" s="23"/>
      <c r="M67" s="24"/>
      <c r="N67" s="19"/>
      <c r="O67" s="25" t="str">
        <f aca="false">IF(OR(G67="",H67=""),"",H67-G67)</f>
        <v/>
      </c>
      <c r="P67" s="26" t="str">
        <f aca="false">IF(COUNTA(A67:N67)=0,"",IF(B67="","Falta el nombre",IF(C67="","Falta la cédula",IF(LEN(C67)&lt;&gt;10,"La cédula debe tener 10 dígitos",IF(F67="","Falta el tipo de plan",IF(G67="","Falta la fecha de inicio",IF(H67="","Falta la fecha de vencimiento",IF(O67&lt;=0,"El vencimiento debe ser posterior al inicio",IF(AND(F67&lt;&gt;"DIARIO",O67&lt;21),"Duración muy corta: revisar fechas",IF(O67&gt;400,"Duración mayor a 400 días: revisar fechas",IF(I67="","Falta la forma de pago",IF(L67="","Falta el monto cobrado","OK"))))))))))))</f>
        <v/>
      </c>
    </row>
    <row r="68" customFormat="false" ht="15" hidden="false" customHeight="false" outlineLevel="0" collapsed="false">
      <c r="A68" s="18"/>
      <c r="B68" s="19"/>
      <c r="C68" s="20"/>
      <c r="D68" s="20"/>
      <c r="E68" s="19"/>
      <c r="F68" s="18"/>
      <c r="G68" s="21"/>
      <c r="H68" s="21"/>
      <c r="I68" s="18"/>
      <c r="J68" s="22"/>
      <c r="K68" s="23"/>
      <c r="L68" s="23"/>
      <c r="M68" s="24"/>
      <c r="N68" s="19"/>
      <c r="O68" s="25" t="str">
        <f aca="false">IF(OR(G68="",H68=""),"",H68-G68)</f>
        <v/>
      </c>
      <c r="P68" s="26" t="str">
        <f aca="false">IF(COUNTA(A68:N68)=0,"",IF(B68="","Falta el nombre",IF(C68="","Falta la cédula",IF(LEN(C68)&lt;&gt;10,"La cédula debe tener 10 dígitos",IF(F68="","Falta el tipo de plan",IF(G68="","Falta la fecha de inicio",IF(H68="","Falta la fecha de vencimiento",IF(O68&lt;=0,"El vencimiento debe ser posterior al inicio",IF(AND(F68&lt;&gt;"DIARIO",O68&lt;21),"Duración muy corta: revisar fechas",IF(O68&gt;400,"Duración mayor a 400 días: revisar fechas",IF(I68="","Falta la forma de pago",IF(L68="","Falta el monto cobrado","OK"))))))))))))</f>
        <v/>
      </c>
    </row>
    <row r="69" customFormat="false" ht="15" hidden="false" customHeight="false" outlineLevel="0" collapsed="false">
      <c r="A69" s="18"/>
      <c r="B69" s="19"/>
      <c r="C69" s="20"/>
      <c r="D69" s="20"/>
      <c r="E69" s="19"/>
      <c r="F69" s="18"/>
      <c r="G69" s="21"/>
      <c r="H69" s="21"/>
      <c r="I69" s="18"/>
      <c r="J69" s="22"/>
      <c r="K69" s="23"/>
      <c r="L69" s="23"/>
      <c r="M69" s="24"/>
      <c r="N69" s="19"/>
      <c r="O69" s="25" t="str">
        <f aca="false">IF(OR(G69="",H69=""),"",H69-G69)</f>
        <v/>
      </c>
      <c r="P69" s="26" t="str">
        <f aca="false">IF(COUNTA(A69:N69)=0,"",IF(B69="","Falta el nombre",IF(C69="","Falta la cédula",IF(LEN(C69)&lt;&gt;10,"La cédula debe tener 10 dígitos",IF(F69="","Falta el tipo de plan",IF(G69="","Falta la fecha de inicio",IF(H69="","Falta la fecha de vencimiento",IF(O69&lt;=0,"El vencimiento debe ser posterior al inicio",IF(AND(F69&lt;&gt;"DIARIO",O69&lt;21),"Duración muy corta: revisar fechas",IF(O69&gt;400,"Duración mayor a 400 días: revisar fechas",IF(I69="","Falta la forma de pago",IF(L69="","Falta el monto cobrado","OK"))))))))))))</f>
        <v/>
      </c>
    </row>
    <row r="70" customFormat="false" ht="15" hidden="false" customHeight="false" outlineLevel="0" collapsed="false">
      <c r="A70" s="18"/>
      <c r="B70" s="19"/>
      <c r="C70" s="20"/>
      <c r="D70" s="20"/>
      <c r="E70" s="19"/>
      <c r="F70" s="18"/>
      <c r="G70" s="21"/>
      <c r="H70" s="21"/>
      <c r="I70" s="18"/>
      <c r="J70" s="22"/>
      <c r="K70" s="23"/>
      <c r="L70" s="23"/>
      <c r="M70" s="24"/>
      <c r="N70" s="19"/>
      <c r="O70" s="25" t="str">
        <f aca="false">IF(OR(G70="",H70=""),"",H70-G70)</f>
        <v/>
      </c>
      <c r="P70" s="26" t="str">
        <f aca="false">IF(COUNTA(A70:N70)=0,"",IF(B70="","Falta el nombre",IF(C70="","Falta la cédula",IF(LEN(C70)&lt;&gt;10,"La cédula debe tener 10 dígitos",IF(F70="","Falta el tipo de plan",IF(G70="","Falta la fecha de inicio",IF(H70="","Falta la fecha de vencimiento",IF(O70&lt;=0,"El vencimiento debe ser posterior al inicio",IF(AND(F70&lt;&gt;"DIARIO",O70&lt;21),"Duración muy corta: revisar fechas",IF(O70&gt;400,"Duración mayor a 400 días: revisar fechas",IF(I70="","Falta la forma de pago",IF(L70="","Falta el monto cobrado","OK"))))))))))))</f>
        <v/>
      </c>
    </row>
    <row r="71" customFormat="false" ht="15" hidden="false" customHeight="false" outlineLevel="0" collapsed="false">
      <c r="A71" s="18"/>
      <c r="B71" s="19"/>
      <c r="C71" s="20"/>
      <c r="D71" s="20"/>
      <c r="E71" s="19"/>
      <c r="F71" s="18"/>
      <c r="G71" s="21"/>
      <c r="H71" s="21"/>
      <c r="I71" s="18"/>
      <c r="J71" s="22"/>
      <c r="K71" s="23"/>
      <c r="L71" s="23"/>
      <c r="M71" s="24"/>
      <c r="N71" s="19"/>
      <c r="O71" s="25" t="str">
        <f aca="false">IF(OR(G71="",H71=""),"",H71-G71)</f>
        <v/>
      </c>
      <c r="P71" s="26" t="str">
        <f aca="false">IF(COUNTA(A71:N71)=0,"",IF(B71="","Falta el nombre",IF(C71="","Falta la cédula",IF(LEN(C71)&lt;&gt;10,"La cédula debe tener 10 dígitos",IF(F71="","Falta el tipo de plan",IF(G71="","Falta la fecha de inicio",IF(H71="","Falta la fecha de vencimiento",IF(O71&lt;=0,"El vencimiento debe ser posterior al inicio",IF(AND(F71&lt;&gt;"DIARIO",O71&lt;21),"Duración muy corta: revisar fechas",IF(O71&gt;400,"Duración mayor a 400 días: revisar fechas",IF(I71="","Falta la forma de pago",IF(L71="","Falta el monto cobrado","OK"))))))))))))</f>
        <v/>
      </c>
    </row>
    <row r="72" customFormat="false" ht="15" hidden="false" customHeight="false" outlineLevel="0" collapsed="false">
      <c r="A72" s="18"/>
      <c r="B72" s="19"/>
      <c r="C72" s="20"/>
      <c r="D72" s="20"/>
      <c r="E72" s="19"/>
      <c r="F72" s="18"/>
      <c r="G72" s="21"/>
      <c r="H72" s="21"/>
      <c r="I72" s="18"/>
      <c r="J72" s="22"/>
      <c r="K72" s="23"/>
      <c r="L72" s="23"/>
      <c r="M72" s="24"/>
      <c r="N72" s="19"/>
      <c r="O72" s="25" t="str">
        <f aca="false">IF(OR(G72="",H72=""),"",H72-G72)</f>
        <v/>
      </c>
      <c r="P72" s="26" t="str">
        <f aca="false">IF(COUNTA(A72:N72)=0,"",IF(B72="","Falta el nombre",IF(C72="","Falta la cédula",IF(LEN(C72)&lt;&gt;10,"La cédula debe tener 10 dígitos",IF(F72="","Falta el tipo de plan",IF(G72="","Falta la fecha de inicio",IF(H72="","Falta la fecha de vencimiento",IF(O72&lt;=0,"El vencimiento debe ser posterior al inicio",IF(AND(F72&lt;&gt;"DIARIO",O72&lt;21),"Duración muy corta: revisar fechas",IF(O72&gt;400,"Duración mayor a 400 días: revisar fechas",IF(I72="","Falta la forma de pago",IF(L72="","Falta el monto cobrado","OK"))))))))))))</f>
        <v/>
      </c>
    </row>
    <row r="73" customFormat="false" ht="15" hidden="false" customHeight="false" outlineLevel="0" collapsed="false">
      <c r="A73" s="18"/>
      <c r="B73" s="19"/>
      <c r="C73" s="20"/>
      <c r="D73" s="20"/>
      <c r="E73" s="19"/>
      <c r="F73" s="18"/>
      <c r="G73" s="21"/>
      <c r="H73" s="21"/>
      <c r="I73" s="18"/>
      <c r="J73" s="22"/>
      <c r="K73" s="23"/>
      <c r="L73" s="23"/>
      <c r="M73" s="24"/>
      <c r="N73" s="19"/>
      <c r="O73" s="25" t="str">
        <f aca="false">IF(OR(G73="",H73=""),"",H73-G73)</f>
        <v/>
      </c>
      <c r="P73" s="26" t="str">
        <f aca="false">IF(COUNTA(A73:N73)=0,"",IF(B73="","Falta el nombre",IF(C73="","Falta la cédula",IF(LEN(C73)&lt;&gt;10,"La cédula debe tener 10 dígitos",IF(F73="","Falta el tipo de plan",IF(G73="","Falta la fecha de inicio",IF(H73="","Falta la fecha de vencimiento",IF(O73&lt;=0,"El vencimiento debe ser posterior al inicio",IF(AND(F73&lt;&gt;"DIARIO",O73&lt;21),"Duración muy corta: revisar fechas",IF(O73&gt;400,"Duración mayor a 400 días: revisar fechas",IF(I73="","Falta la forma de pago",IF(L73="","Falta el monto cobrado","OK"))))))))))))</f>
        <v/>
      </c>
    </row>
    <row r="74" customFormat="false" ht="15" hidden="false" customHeight="false" outlineLevel="0" collapsed="false">
      <c r="A74" s="18"/>
      <c r="B74" s="19"/>
      <c r="C74" s="20"/>
      <c r="D74" s="20"/>
      <c r="E74" s="19"/>
      <c r="F74" s="18"/>
      <c r="G74" s="21"/>
      <c r="H74" s="21"/>
      <c r="I74" s="18"/>
      <c r="J74" s="22"/>
      <c r="K74" s="23"/>
      <c r="L74" s="23"/>
      <c r="M74" s="24"/>
      <c r="N74" s="19"/>
      <c r="O74" s="25" t="str">
        <f aca="false">IF(OR(G74="",H74=""),"",H74-G74)</f>
        <v/>
      </c>
      <c r="P74" s="26" t="str">
        <f aca="false">IF(COUNTA(A74:N74)=0,"",IF(B74="","Falta el nombre",IF(C74="","Falta la cédula",IF(LEN(C74)&lt;&gt;10,"La cédula debe tener 10 dígitos",IF(F74="","Falta el tipo de plan",IF(G74="","Falta la fecha de inicio",IF(H74="","Falta la fecha de vencimiento",IF(O74&lt;=0,"El vencimiento debe ser posterior al inicio",IF(AND(F74&lt;&gt;"DIARIO",O74&lt;21),"Duración muy corta: revisar fechas",IF(O74&gt;400,"Duración mayor a 400 días: revisar fechas",IF(I74="","Falta la forma de pago",IF(L74="","Falta el monto cobrado","OK"))))))))))))</f>
        <v/>
      </c>
    </row>
    <row r="75" customFormat="false" ht="15" hidden="false" customHeight="false" outlineLevel="0" collapsed="false">
      <c r="A75" s="18"/>
      <c r="B75" s="19"/>
      <c r="C75" s="20"/>
      <c r="D75" s="20"/>
      <c r="E75" s="19"/>
      <c r="F75" s="18"/>
      <c r="G75" s="21"/>
      <c r="H75" s="21"/>
      <c r="I75" s="18"/>
      <c r="J75" s="22"/>
      <c r="K75" s="23"/>
      <c r="L75" s="23"/>
      <c r="M75" s="24"/>
      <c r="N75" s="19"/>
      <c r="O75" s="25" t="str">
        <f aca="false">IF(OR(G75="",H75=""),"",H75-G75)</f>
        <v/>
      </c>
      <c r="P75" s="26" t="str">
        <f aca="false">IF(COUNTA(A75:N75)=0,"",IF(B75="","Falta el nombre",IF(C75="","Falta la cédula",IF(LEN(C75)&lt;&gt;10,"La cédula debe tener 10 dígitos",IF(F75="","Falta el tipo de plan",IF(G75="","Falta la fecha de inicio",IF(H75="","Falta la fecha de vencimiento",IF(O75&lt;=0,"El vencimiento debe ser posterior al inicio",IF(AND(F75&lt;&gt;"DIARIO",O75&lt;21),"Duración muy corta: revisar fechas",IF(O75&gt;400,"Duración mayor a 400 días: revisar fechas",IF(I75="","Falta la forma de pago",IF(L75="","Falta el monto cobrado","OK"))))))))))))</f>
        <v/>
      </c>
    </row>
    <row r="76" customFormat="false" ht="15" hidden="false" customHeight="false" outlineLevel="0" collapsed="false">
      <c r="A76" s="18"/>
      <c r="B76" s="19"/>
      <c r="C76" s="20"/>
      <c r="D76" s="20"/>
      <c r="E76" s="19"/>
      <c r="F76" s="18"/>
      <c r="G76" s="21"/>
      <c r="H76" s="21"/>
      <c r="I76" s="18"/>
      <c r="J76" s="22"/>
      <c r="K76" s="23"/>
      <c r="L76" s="23"/>
      <c r="M76" s="24"/>
      <c r="N76" s="19"/>
      <c r="O76" s="25" t="str">
        <f aca="false">IF(OR(G76="",H76=""),"",H76-G76)</f>
        <v/>
      </c>
      <c r="P76" s="26" t="str">
        <f aca="false">IF(COUNTA(A76:N76)=0,"",IF(B76="","Falta el nombre",IF(C76="","Falta la cédula",IF(LEN(C76)&lt;&gt;10,"La cédula debe tener 10 dígitos",IF(F76="","Falta el tipo de plan",IF(G76="","Falta la fecha de inicio",IF(H76="","Falta la fecha de vencimiento",IF(O76&lt;=0,"El vencimiento debe ser posterior al inicio",IF(AND(F76&lt;&gt;"DIARIO",O76&lt;21),"Duración muy corta: revisar fechas",IF(O76&gt;400,"Duración mayor a 400 días: revisar fechas",IF(I76="","Falta la forma de pago",IF(L76="","Falta el monto cobrado","OK"))))))))))))</f>
        <v/>
      </c>
    </row>
    <row r="77" customFormat="false" ht="15" hidden="false" customHeight="false" outlineLevel="0" collapsed="false">
      <c r="A77" s="18"/>
      <c r="B77" s="19"/>
      <c r="C77" s="20"/>
      <c r="D77" s="20"/>
      <c r="E77" s="19"/>
      <c r="F77" s="18"/>
      <c r="G77" s="21"/>
      <c r="H77" s="21"/>
      <c r="I77" s="18"/>
      <c r="J77" s="22"/>
      <c r="K77" s="23"/>
      <c r="L77" s="23"/>
      <c r="M77" s="24"/>
      <c r="N77" s="19"/>
      <c r="O77" s="25" t="str">
        <f aca="false">IF(OR(G77="",H77=""),"",H77-G77)</f>
        <v/>
      </c>
      <c r="P77" s="26" t="str">
        <f aca="false">IF(COUNTA(A77:N77)=0,"",IF(B77="","Falta el nombre",IF(C77="","Falta la cédula",IF(LEN(C77)&lt;&gt;10,"La cédula debe tener 10 dígitos",IF(F77="","Falta el tipo de plan",IF(G77="","Falta la fecha de inicio",IF(H77="","Falta la fecha de vencimiento",IF(O77&lt;=0,"El vencimiento debe ser posterior al inicio",IF(AND(F77&lt;&gt;"DIARIO",O77&lt;21),"Duración muy corta: revisar fechas",IF(O77&gt;400,"Duración mayor a 400 días: revisar fechas",IF(I77="","Falta la forma de pago",IF(L77="","Falta el monto cobrado","OK"))))))))))))</f>
        <v/>
      </c>
    </row>
    <row r="78" customFormat="false" ht="15" hidden="false" customHeight="false" outlineLevel="0" collapsed="false">
      <c r="A78" s="18"/>
      <c r="B78" s="19"/>
      <c r="C78" s="20"/>
      <c r="D78" s="20"/>
      <c r="E78" s="19"/>
      <c r="F78" s="18"/>
      <c r="G78" s="21"/>
      <c r="H78" s="21"/>
      <c r="I78" s="18"/>
      <c r="J78" s="22"/>
      <c r="K78" s="23"/>
      <c r="L78" s="23"/>
      <c r="M78" s="24"/>
      <c r="N78" s="19"/>
      <c r="O78" s="25" t="str">
        <f aca="false">IF(OR(G78="",H78=""),"",H78-G78)</f>
        <v/>
      </c>
      <c r="P78" s="26" t="str">
        <f aca="false">IF(COUNTA(A78:N78)=0,"",IF(B78="","Falta el nombre",IF(C78="","Falta la cédula",IF(LEN(C78)&lt;&gt;10,"La cédula debe tener 10 dígitos",IF(F78="","Falta el tipo de plan",IF(G78="","Falta la fecha de inicio",IF(H78="","Falta la fecha de vencimiento",IF(O78&lt;=0,"El vencimiento debe ser posterior al inicio",IF(AND(F78&lt;&gt;"DIARIO",O78&lt;21),"Duración muy corta: revisar fechas",IF(O78&gt;400,"Duración mayor a 400 días: revisar fechas",IF(I78="","Falta la forma de pago",IF(L78="","Falta el monto cobrado","OK"))))))))))))</f>
        <v/>
      </c>
    </row>
    <row r="79" customFormat="false" ht="15" hidden="false" customHeight="false" outlineLevel="0" collapsed="false">
      <c r="A79" s="18"/>
      <c r="B79" s="19"/>
      <c r="C79" s="20"/>
      <c r="D79" s="20"/>
      <c r="E79" s="19"/>
      <c r="F79" s="18"/>
      <c r="G79" s="21"/>
      <c r="H79" s="21"/>
      <c r="I79" s="18"/>
      <c r="J79" s="22"/>
      <c r="K79" s="23"/>
      <c r="L79" s="23"/>
      <c r="M79" s="24"/>
      <c r="N79" s="19"/>
      <c r="O79" s="25" t="str">
        <f aca="false">IF(OR(G79="",H79=""),"",H79-G79)</f>
        <v/>
      </c>
      <c r="P79" s="26" t="str">
        <f aca="false">IF(COUNTA(A79:N79)=0,"",IF(B79="","Falta el nombre",IF(C79="","Falta la cédula",IF(LEN(C79)&lt;&gt;10,"La cédula debe tener 10 dígitos",IF(F79="","Falta el tipo de plan",IF(G79="","Falta la fecha de inicio",IF(H79="","Falta la fecha de vencimiento",IF(O79&lt;=0,"El vencimiento debe ser posterior al inicio",IF(AND(F79&lt;&gt;"DIARIO",O79&lt;21),"Duración muy corta: revisar fechas",IF(O79&gt;400,"Duración mayor a 400 días: revisar fechas",IF(I79="","Falta la forma de pago",IF(L79="","Falta el monto cobrado","OK"))))))))))))</f>
        <v/>
      </c>
    </row>
    <row r="80" customFormat="false" ht="15" hidden="false" customHeight="false" outlineLevel="0" collapsed="false">
      <c r="A80" s="18"/>
      <c r="B80" s="19"/>
      <c r="C80" s="20"/>
      <c r="D80" s="20"/>
      <c r="E80" s="19"/>
      <c r="F80" s="18"/>
      <c r="G80" s="21"/>
      <c r="H80" s="21"/>
      <c r="I80" s="18"/>
      <c r="J80" s="22"/>
      <c r="K80" s="23"/>
      <c r="L80" s="23"/>
      <c r="M80" s="24"/>
      <c r="N80" s="19"/>
      <c r="O80" s="25" t="str">
        <f aca="false">IF(OR(G80="",H80=""),"",H80-G80)</f>
        <v/>
      </c>
      <c r="P80" s="26" t="str">
        <f aca="false">IF(COUNTA(A80:N80)=0,"",IF(B80="","Falta el nombre",IF(C80="","Falta la cédula",IF(LEN(C80)&lt;&gt;10,"La cédula debe tener 10 dígitos",IF(F80="","Falta el tipo de plan",IF(G80="","Falta la fecha de inicio",IF(H80="","Falta la fecha de vencimiento",IF(O80&lt;=0,"El vencimiento debe ser posterior al inicio",IF(AND(F80&lt;&gt;"DIARIO",O80&lt;21),"Duración muy corta: revisar fechas",IF(O80&gt;400,"Duración mayor a 400 días: revisar fechas",IF(I80="","Falta la forma de pago",IF(L80="","Falta el monto cobrado","OK"))))))))))))</f>
        <v/>
      </c>
    </row>
    <row r="81" customFormat="false" ht="15" hidden="false" customHeight="false" outlineLevel="0" collapsed="false">
      <c r="A81" s="18"/>
      <c r="B81" s="19"/>
      <c r="C81" s="20"/>
      <c r="D81" s="20"/>
      <c r="E81" s="19"/>
      <c r="F81" s="18"/>
      <c r="G81" s="21"/>
      <c r="H81" s="21"/>
      <c r="I81" s="18"/>
      <c r="J81" s="22"/>
      <c r="K81" s="23"/>
      <c r="L81" s="23"/>
      <c r="M81" s="24"/>
      <c r="N81" s="19"/>
      <c r="O81" s="25" t="str">
        <f aca="false">IF(OR(G81="",H81=""),"",H81-G81)</f>
        <v/>
      </c>
      <c r="P81" s="26" t="str">
        <f aca="false">IF(COUNTA(A81:N81)=0,"",IF(B81="","Falta el nombre",IF(C81="","Falta la cédula",IF(LEN(C81)&lt;&gt;10,"La cédula debe tener 10 dígitos",IF(F81="","Falta el tipo de plan",IF(G81="","Falta la fecha de inicio",IF(H81="","Falta la fecha de vencimiento",IF(O81&lt;=0,"El vencimiento debe ser posterior al inicio",IF(AND(F81&lt;&gt;"DIARIO",O81&lt;21),"Duración muy corta: revisar fechas",IF(O81&gt;400,"Duración mayor a 400 días: revisar fechas",IF(I81="","Falta la forma de pago",IF(L81="","Falta el monto cobrado","OK"))))))))))))</f>
        <v/>
      </c>
    </row>
    <row r="82" customFormat="false" ht="15" hidden="false" customHeight="false" outlineLevel="0" collapsed="false">
      <c r="A82" s="18"/>
      <c r="B82" s="19"/>
      <c r="C82" s="20"/>
      <c r="D82" s="20"/>
      <c r="E82" s="19"/>
      <c r="F82" s="18"/>
      <c r="G82" s="21"/>
      <c r="H82" s="21"/>
      <c r="I82" s="18"/>
      <c r="J82" s="22"/>
      <c r="K82" s="23"/>
      <c r="L82" s="23"/>
      <c r="M82" s="24"/>
      <c r="N82" s="19"/>
      <c r="O82" s="25" t="str">
        <f aca="false">IF(OR(G82="",H82=""),"",H82-G82)</f>
        <v/>
      </c>
      <c r="P82" s="26" t="str">
        <f aca="false">IF(COUNTA(A82:N82)=0,"",IF(B82="","Falta el nombre",IF(C82="","Falta la cédula",IF(LEN(C82)&lt;&gt;10,"La cédula debe tener 10 dígitos",IF(F82="","Falta el tipo de plan",IF(G82="","Falta la fecha de inicio",IF(H82="","Falta la fecha de vencimiento",IF(O82&lt;=0,"El vencimiento debe ser posterior al inicio",IF(AND(F82&lt;&gt;"DIARIO",O82&lt;21),"Duración muy corta: revisar fechas",IF(O82&gt;400,"Duración mayor a 400 días: revisar fechas",IF(I82="","Falta la forma de pago",IF(L82="","Falta el monto cobrado","OK"))))))))))))</f>
        <v/>
      </c>
    </row>
    <row r="83" customFormat="false" ht="15" hidden="false" customHeight="false" outlineLevel="0" collapsed="false">
      <c r="A83" s="18"/>
      <c r="B83" s="19"/>
      <c r="C83" s="20"/>
      <c r="D83" s="20"/>
      <c r="E83" s="19"/>
      <c r="F83" s="18"/>
      <c r="G83" s="21"/>
      <c r="H83" s="21"/>
      <c r="I83" s="18"/>
      <c r="J83" s="22"/>
      <c r="K83" s="23"/>
      <c r="L83" s="23"/>
      <c r="M83" s="24"/>
      <c r="N83" s="19"/>
      <c r="O83" s="25" t="str">
        <f aca="false">IF(OR(G83="",H83=""),"",H83-G83)</f>
        <v/>
      </c>
      <c r="P83" s="26" t="str">
        <f aca="false">IF(COUNTA(A83:N83)=0,"",IF(B83="","Falta el nombre",IF(C83="","Falta la cédula",IF(LEN(C83)&lt;&gt;10,"La cédula debe tener 10 dígitos",IF(F83="","Falta el tipo de plan",IF(G83="","Falta la fecha de inicio",IF(H83="","Falta la fecha de vencimiento",IF(O83&lt;=0,"El vencimiento debe ser posterior al inicio",IF(AND(F83&lt;&gt;"DIARIO",O83&lt;21),"Duración muy corta: revisar fechas",IF(O83&gt;400,"Duración mayor a 400 días: revisar fechas",IF(I83="","Falta la forma de pago",IF(L83="","Falta el monto cobrado","OK"))))))))))))</f>
        <v/>
      </c>
    </row>
    <row r="84" customFormat="false" ht="15" hidden="false" customHeight="false" outlineLevel="0" collapsed="false">
      <c r="A84" s="18"/>
      <c r="B84" s="19"/>
      <c r="C84" s="20"/>
      <c r="D84" s="20"/>
      <c r="E84" s="19"/>
      <c r="F84" s="18"/>
      <c r="G84" s="21"/>
      <c r="H84" s="21"/>
      <c r="I84" s="18"/>
      <c r="J84" s="22"/>
      <c r="K84" s="23"/>
      <c r="L84" s="23"/>
      <c r="M84" s="24"/>
      <c r="N84" s="19"/>
      <c r="O84" s="25" t="str">
        <f aca="false">IF(OR(G84="",H84=""),"",H84-G84)</f>
        <v/>
      </c>
      <c r="P84" s="26" t="str">
        <f aca="false">IF(COUNTA(A84:N84)=0,"",IF(B84="","Falta el nombre",IF(C84="","Falta la cédula",IF(LEN(C84)&lt;&gt;10,"La cédula debe tener 10 dígitos",IF(F84="","Falta el tipo de plan",IF(G84="","Falta la fecha de inicio",IF(H84="","Falta la fecha de vencimiento",IF(O84&lt;=0,"El vencimiento debe ser posterior al inicio",IF(AND(F84&lt;&gt;"DIARIO",O84&lt;21),"Duración muy corta: revisar fechas",IF(O84&gt;400,"Duración mayor a 400 días: revisar fechas",IF(I84="","Falta la forma de pago",IF(L84="","Falta el monto cobrado","OK"))))))))))))</f>
        <v/>
      </c>
    </row>
    <row r="85" customFormat="false" ht="15" hidden="false" customHeight="false" outlineLevel="0" collapsed="false">
      <c r="A85" s="18"/>
      <c r="B85" s="19"/>
      <c r="C85" s="20"/>
      <c r="D85" s="20"/>
      <c r="E85" s="19"/>
      <c r="F85" s="18"/>
      <c r="G85" s="21"/>
      <c r="H85" s="21"/>
      <c r="I85" s="18"/>
      <c r="J85" s="22"/>
      <c r="K85" s="23"/>
      <c r="L85" s="23"/>
      <c r="M85" s="24"/>
      <c r="N85" s="19"/>
      <c r="O85" s="25" t="str">
        <f aca="false">IF(OR(G85="",H85=""),"",H85-G85)</f>
        <v/>
      </c>
      <c r="P85" s="26" t="str">
        <f aca="false">IF(COUNTA(A85:N85)=0,"",IF(B85="","Falta el nombre",IF(C85="","Falta la cédula",IF(LEN(C85)&lt;&gt;10,"La cédula debe tener 10 dígitos",IF(F85="","Falta el tipo de plan",IF(G85="","Falta la fecha de inicio",IF(H85="","Falta la fecha de vencimiento",IF(O85&lt;=0,"El vencimiento debe ser posterior al inicio",IF(AND(F85&lt;&gt;"DIARIO",O85&lt;21),"Duración muy corta: revisar fechas",IF(O85&gt;400,"Duración mayor a 400 días: revisar fechas",IF(I85="","Falta la forma de pago",IF(L85="","Falta el monto cobrado","OK"))))))))))))</f>
        <v/>
      </c>
    </row>
    <row r="86" customFormat="false" ht="15" hidden="false" customHeight="false" outlineLevel="0" collapsed="false">
      <c r="A86" s="18"/>
      <c r="B86" s="19"/>
      <c r="C86" s="20"/>
      <c r="D86" s="20"/>
      <c r="E86" s="19"/>
      <c r="F86" s="18"/>
      <c r="G86" s="21"/>
      <c r="H86" s="21"/>
      <c r="I86" s="18"/>
      <c r="J86" s="22"/>
      <c r="K86" s="23"/>
      <c r="L86" s="23"/>
      <c r="M86" s="24"/>
      <c r="N86" s="19"/>
      <c r="O86" s="25" t="str">
        <f aca="false">IF(OR(G86="",H86=""),"",H86-G86)</f>
        <v/>
      </c>
      <c r="P86" s="26" t="str">
        <f aca="false">IF(COUNTA(A86:N86)=0,"",IF(B86="","Falta el nombre",IF(C86="","Falta la cédula",IF(LEN(C86)&lt;&gt;10,"La cédula debe tener 10 dígitos",IF(F86="","Falta el tipo de plan",IF(G86="","Falta la fecha de inicio",IF(H86="","Falta la fecha de vencimiento",IF(O86&lt;=0,"El vencimiento debe ser posterior al inicio",IF(AND(F86&lt;&gt;"DIARIO",O86&lt;21),"Duración muy corta: revisar fechas",IF(O86&gt;400,"Duración mayor a 400 días: revisar fechas",IF(I86="","Falta la forma de pago",IF(L86="","Falta el monto cobrado","OK"))))))))))))</f>
        <v/>
      </c>
    </row>
    <row r="87" customFormat="false" ht="15" hidden="false" customHeight="false" outlineLevel="0" collapsed="false">
      <c r="A87" s="18"/>
      <c r="B87" s="19"/>
      <c r="C87" s="20"/>
      <c r="D87" s="20"/>
      <c r="E87" s="19"/>
      <c r="F87" s="18"/>
      <c r="G87" s="21"/>
      <c r="H87" s="21"/>
      <c r="I87" s="18"/>
      <c r="J87" s="22"/>
      <c r="K87" s="23"/>
      <c r="L87" s="23"/>
      <c r="M87" s="24"/>
      <c r="N87" s="19"/>
      <c r="O87" s="25" t="str">
        <f aca="false">IF(OR(G87="",H87=""),"",H87-G87)</f>
        <v/>
      </c>
      <c r="P87" s="26" t="str">
        <f aca="false">IF(COUNTA(A87:N87)=0,"",IF(B87="","Falta el nombre",IF(C87="","Falta la cédula",IF(LEN(C87)&lt;&gt;10,"La cédula debe tener 10 dígitos",IF(F87="","Falta el tipo de plan",IF(G87="","Falta la fecha de inicio",IF(H87="","Falta la fecha de vencimiento",IF(O87&lt;=0,"El vencimiento debe ser posterior al inicio",IF(AND(F87&lt;&gt;"DIARIO",O87&lt;21),"Duración muy corta: revisar fechas",IF(O87&gt;400,"Duración mayor a 400 días: revisar fechas",IF(I87="","Falta la forma de pago",IF(L87="","Falta el monto cobrado","OK"))))))))))))</f>
        <v/>
      </c>
    </row>
    <row r="88" customFormat="false" ht="15" hidden="false" customHeight="false" outlineLevel="0" collapsed="false">
      <c r="A88" s="18"/>
      <c r="B88" s="19"/>
      <c r="C88" s="20"/>
      <c r="D88" s="20"/>
      <c r="E88" s="19"/>
      <c r="F88" s="18"/>
      <c r="G88" s="21"/>
      <c r="H88" s="21"/>
      <c r="I88" s="18"/>
      <c r="J88" s="22"/>
      <c r="K88" s="23"/>
      <c r="L88" s="23"/>
      <c r="M88" s="24"/>
      <c r="N88" s="19"/>
      <c r="O88" s="25" t="str">
        <f aca="false">IF(OR(G88="",H88=""),"",H88-G88)</f>
        <v/>
      </c>
      <c r="P88" s="26" t="str">
        <f aca="false">IF(COUNTA(A88:N88)=0,"",IF(B88="","Falta el nombre",IF(C88="","Falta la cédula",IF(LEN(C88)&lt;&gt;10,"La cédula debe tener 10 dígitos",IF(F88="","Falta el tipo de plan",IF(G88="","Falta la fecha de inicio",IF(H88="","Falta la fecha de vencimiento",IF(O88&lt;=0,"El vencimiento debe ser posterior al inicio",IF(AND(F88&lt;&gt;"DIARIO",O88&lt;21),"Duración muy corta: revisar fechas",IF(O88&gt;400,"Duración mayor a 400 días: revisar fechas",IF(I88="","Falta la forma de pago",IF(L88="","Falta el monto cobrado","OK"))))))))))))</f>
        <v/>
      </c>
    </row>
    <row r="89" customFormat="false" ht="15" hidden="false" customHeight="false" outlineLevel="0" collapsed="false">
      <c r="A89" s="18"/>
      <c r="B89" s="19"/>
      <c r="C89" s="20"/>
      <c r="D89" s="20"/>
      <c r="E89" s="19"/>
      <c r="F89" s="18"/>
      <c r="G89" s="21"/>
      <c r="H89" s="21"/>
      <c r="I89" s="18"/>
      <c r="J89" s="22"/>
      <c r="K89" s="23"/>
      <c r="L89" s="23"/>
      <c r="M89" s="24"/>
      <c r="N89" s="19"/>
      <c r="O89" s="25" t="str">
        <f aca="false">IF(OR(G89="",H89=""),"",H89-G89)</f>
        <v/>
      </c>
      <c r="P89" s="26" t="str">
        <f aca="false">IF(COUNTA(A89:N89)=0,"",IF(B89="","Falta el nombre",IF(C89="","Falta la cédula",IF(LEN(C89)&lt;&gt;10,"La cédula debe tener 10 dígitos",IF(F89="","Falta el tipo de plan",IF(G89="","Falta la fecha de inicio",IF(H89="","Falta la fecha de vencimiento",IF(O89&lt;=0,"El vencimiento debe ser posterior al inicio",IF(AND(F89&lt;&gt;"DIARIO",O89&lt;21),"Duración muy corta: revisar fechas",IF(O89&gt;400,"Duración mayor a 400 días: revisar fechas",IF(I89="","Falta la forma de pago",IF(L89="","Falta el monto cobrado","OK"))))))))))))</f>
        <v/>
      </c>
    </row>
    <row r="90" customFormat="false" ht="15" hidden="false" customHeight="false" outlineLevel="0" collapsed="false">
      <c r="A90" s="18"/>
      <c r="B90" s="19"/>
      <c r="C90" s="20"/>
      <c r="D90" s="20"/>
      <c r="E90" s="19"/>
      <c r="F90" s="18"/>
      <c r="G90" s="21"/>
      <c r="H90" s="21"/>
      <c r="I90" s="18"/>
      <c r="J90" s="22"/>
      <c r="K90" s="23"/>
      <c r="L90" s="23"/>
      <c r="M90" s="24"/>
      <c r="N90" s="19"/>
      <c r="O90" s="25" t="str">
        <f aca="false">IF(OR(G90="",H90=""),"",H90-G90)</f>
        <v/>
      </c>
      <c r="P90" s="26" t="str">
        <f aca="false">IF(COUNTA(A90:N90)=0,"",IF(B90="","Falta el nombre",IF(C90="","Falta la cédula",IF(LEN(C90)&lt;&gt;10,"La cédula debe tener 10 dígitos",IF(F90="","Falta el tipo de plan",IF(G90="","Falta la fecha de inicio",IF(H90="","Falta la fecha de vencimiento",IF(O90&lt;=0,"El vencimiento debe ser posterior al inicio",IF(AND(F90&lt;&gt;"DIARIO",O90&lt;21),"Duración muy corta: revisar fechas",IF(O90&gt;400,"Duración mayor a 400 días: revisar fechas",IF(I90="","Falta la forma de pago",IF(L90="","Falta el monto cobrado","OK"))))))))))))</f>
        <v/>
      </c>
    </row>
    <row r="91" customFormat="false" ht="15" hidden="false" customHeight="false" outlineLevel="0" collapsed="false">
      <c r="A91" s="18"/>
      <c r="B91" s="19"/>
      <c r="C91" s="20"/>
      <c r="D91" s="20"/>
      <c r="E91" s="19"/>
      <c r="F91" s="18"/>
      <c r="G91" s="21"/>
      <c r="H91" s="21"/>
      <c r="I91" s="18"/>
      <c r="J91" s="22"/>
      <c r="K91" s="23"/>
      <c r="L91" s="23"/>
      <c r="M91" s="24"/>
      <c r="N91" s="19"/>
      <c r="O91" s="25" t="str">
        <f aca="false">IF(OR(G91="",H91=""),"",H91-G91)</f>
        <v/>
      </c>
      <c r="P91" s="26" t="str">
        <f aca="false">IF(COUNTA(A91:N91)=0,"",IF(B91="","Falta el nombre",IF(C91="","Falta la cédula",IF(LEN(C91)&lt;&gt;10,"La cédula debe tener 10 dígitos",IF(F91="","Falta el tipo de plan",IF(G91="","Falta la fecha de inicio",IF(H91="","Falta la fecha de vencimiento",IF(O91&lt;=0,"El vencimiento debe ser posterior al inicio",IF(AND(F91&lt;&gt;"DIARIO",O91&lt;21),"Duración muy corta: revisar fechas",IF(O91&gt;400,"Duración mayor a 400 días: revisar fechas",IF(I91="","Falta la forma de pago",IF(L91="","Falta el monto cobrado","OK"))))))))))))</f>
        <v/>
      </c>
    </row>
    <row r="92" customFormat="false" ht="15" hidden="false" customHeight="false" outlineLevel="0" collapsed="false">
      <c r="A92" s="18"/>
      <c r="B92" s="19"/>
      <c r="C92" s="20"/>
      <c r="D92" s="20"/>
      <c r="E92" s="19"/>
      <c r="F92" s="18"/>
      <c r="G92" s="21"/>
      <c r="H92" s="21"/>
      <c r="I92" s="18"/>
      <c r="J92" s="22"/>
      <c r="K92" s="23"/>
      <c r="L92" s="23"/>
      <c r="M92" s="24"/>
      <c r="N92" s="19"/>
      <c r="O92" s="25" t="str">
        <f aca="false">IF(OR(G92="",H92=""),"",H92-G92)</f>
        <v/>
      </c>
      <c r="P92" s="26" t="str">
        <f aca="false">IF(COUNTA(A92:N92)=0,"",IF(B92="","Falta el nombre",IF(C92="","Falta la cédula",IF(LEN(C92)&lt;&gt;10,"La cédula debe tener 10 dígitos",IF(F92="","Falta el tipo de plan",IF(G92="","Falta la fecha de inicio",IF(H92="","Falta la fecha de vencimiento",IF(O92&lt;=0,"El vencimiento debe ser posterior al inicio",IF(AND(F92&lt;&gt;"DIARIO",O92&lt;21),"Duración muy corta: revisar fechas",IF(O92&gt;400,"Duración mayor a 400 días: revisar fechas",IF(I92="","Falta la forma de pago",IF(L92="","Falta el monto cobrado","OK"))))))))))))</f>
        <v/>
      </c>
    </row>
    <row r="93" customFormat="false" ht="15" hidden="false" customHeight="false" outlineLevel="0" collapsed="false">
      <c r="A93" s="18"/>
      <c r="B93" s="19"/>
      <c r="C93" s="20"/>
      <c r="D93" s="20"/>
      <c r="E93" s="19"/>
      <c r="F93" s="18"/>
      <c r="G93" s="21"/>
      <c r="H93" s="21"/>
      <c r="I93" s="18"/>
      <c r="J93" s="22"/>
      <c r="K93" s="23"/>
      <c r="L93" s="23"/>
      <c r="M93" s="24"/>
      <c r="N93" s="19"/>
      <c r="O93" s="25" t="str">
        <f aca="false">IF(OR(G93="",H93=""),"",H93-G93)</f>
        <v/>
      </c>
      <c r="P93" s="26" t="str">
        <f aca="false">IF(COUNTA(A93:N93)=0,"",IF(B93="","Falta el nombre",IF(C93="","Falta la cédula",IF(LEN(C93)&lt;&gt;10,"La cédula debe tener 10 dígitos",IF(F93="","Falta el tipo de plan",IF(G93="","Falta la fecha de inicio",IF(H93="","Falta la fecha de vencimiento",IF(O93&lt;=0,"El vencimiento debe ser posterior al inicio",IF(AND(F93&lt;&gt;"DIARIO",O93&lt;21),"Duración muy corta: revisar fechas",IF(O93&gt;400,"Duración mayor a 400 días: revisar fechas",IF(I93="","Falta la forma de pago",IF(L93="","Falta el monto cobrado","OK"))))))))))))</f>
        <v/>
      </c>
    </row>
    <row r="94" customFormat="false" ht="15" hidden="false" customHeight="false" outlineLevel="0" collapsed="false">
      <c r="A94" s="18"/>
      <c r="B94" s="19"/>
      <c r="C94" s="20"/>
      <c r="D94" s="20"/>
      <c r="E94" s="19"/>
      <c r="F94" s="18"/>
      <c r="G94" s="21"/>
      <c r="H94" s="21"/>
      <c r="I94" s="18"/>
      <c r="J94" s="22"/>
      <c r="K94" s="23"/>
      <c r="L94" s="23"/>
      <c r="M94" s="24"/>
      <c r="N94" s="19"/>
      <c r="O94" s="25" t="str">
        <f aca="false">IF(OR(G94="",H94=""),"",H94-G94)</f>
        <v/>
      </c>
      <c r="P94" s="26" t="str">
        <f aca="false">IF(COUNTA(A94:N94)=0,"",IF(B94="","Falta el nombre",IF(C94="","Falta la cédula",IF(LEN(C94)&lt;&gt;10,"La cédula debe tener 10 dígitos",IF(F94="","Falta el tipo de plan",IF(G94="","Falta la fecha de inicio",IF(H94="","Falta la fecha de vencimiento",IF(O94&lt;=0,"El vencimiento debe ser posterior al inicio",IF(AND(F94&lt;&gt;"DIARIO",O94&lt;21),"Duración muy corta: revisar fechas",IF(O94&gt;400,"Duración mayor a 400 días: revisar fechas",IF(I94="","Falta la forma de pago",IF(L94="","Falta el monto cobrado","OK"))))))))))))</f>
        <v/>
      </c>
    </row>
    <row r="95" customFormat="false" ht="15" hidden="false" customHeight="false" outlineLevel="0" collapsed="false">
      <c r="A95" s="18"/>
      <c r="B95" s="19"/>
      <c r="C95" s="20"/>
      <c r="D95" s="20"/>
      <c r="E95" s="19"/>
      <c r="F95" s="18"/>
      <c r="G95" s="21"/>
      <c r="H95" s="21"/>
      <c r="I95" s="18"/>
      <c r="J95" s="22"/>
      <c r="K95" s="23"/>
      <c r="L95" s="23"/>
      <c r="M95" s="24"/>
      <c r="N95" s="19"/>
      <c r="O95" s="25" t="str">
        <f aca="false">IF(OR(G95="",H95=""),"",H95-G95)</f>
        <v/>
      </c>
      <c r="P95" s="26" t="str">
        <f aca="false">IF(COUNTA(A95:N95)=0,"",IF(B95="","Falta el nombre",IF(C95="","Falta la cédula",IF(LEN(C95)&lt;&gt;10,"La cédula debe tener 10 dígitos",IF(F95="","Falta el tipo de plan",IF(G95="","Falta la fecha de inicio",IF(H95="","Falta la fecha de vencimiento",IF(O95&lt;=0,"El vencimiento debe ser posterior al inicio",IF(AND(F95&lt;&gt;"DIARIO",O95&lt;21),"Duración muy corta: revisar fechas",IF(O95&gt;400,"Duración mayor a 400 días: revisar fechas",IF(I95="","Falta la forma de pago",IF(L95="","Falta el monto cobrado","OK"))))))))))))</f>
        <v/>
      </c>
    </row>
    <row r="96" customFormat="false" ht="15" hidden="false" customHeight="false" outlineLevel="0" collapsed="false">
      <c r="A96" s="18"/>
      <c r="B96" s="19"/>
      <c r="C96" s="20"/>
      <c r="D96" s="20"/>
      <c r="E96" s="19"/>
      <c r="F96" s="18"/>
      <c r="G96" s="21"/>
      <c r="H96" s="21"/>
      <c r="I96" s="18"/>
      <c r="J96" s="22"/>
      <c r="K96" s="23"/>
      <c r="L96" s="23"/>
      <c r="M96" s="24"/>
      <c r="N96" s="19"/>
      <c r="O96" s="25" t="str">
        <f aca="false">IF(OR(G96="",H96=""),"",H96-G96)</f>
        <v/>
      </c>
      <c r="P96" s="26" t="str">
        <f aca="false">IF(COUNTA(A96:N96)=0,"",IF(B96="","Falta el nombre",IF(C96="","Falta la cédula",IF(LEN(C96)&lt;&gt;10,"La cédula debe tener 10 dígitos",IF(F96="","Falta el tipo de plan",IF(G96="","Falta la fecha de inicio",IF(H96="","Falta la fecha de vencimiento",IF(O96&lt;=0,"El vencimiento debe ser posterior al inicio",IF(AND(F96&lt;&gt;"DIARIO",O96&lt;21),"Duración muy corta: revisar fechas",IF(O96&gt;400,"Duración mayor a 400 días: revisar fechas",IF(I96="","Falta la forma de pago",IF(L96="","Falta el monto cobrado","OK"))))))))))))</f>
        <v/>
      </c>
    </row>
    <row r="97" customFormat="false" ht="15" hidden="false" customHeight="false" outlineLevel="0" collapsed="false">
      <c r="A97" s="18"/>
      <c r="B97" s="19"/>
      <c r="C97" s="20"/>
      <c r="D97" s="20"/>
      <c r="E97" s="19"/>
      <c r="F97" s="18"/>
      <c r="G97" s="21"/>
      <c r="H97" s="21"/>
      <c r="I97" s="18"/>
      <c r="J97" s="22"/>
      <c r="K97" s="23"/>
      <c r="L97" s="23"/>
      <c r="M97" s="24"/>
      <c r="N97" s="19"/>
      <c r="O97" s="25" t="str">
        <f aca="false">IF(OR(G97="",H97=""),"",H97-G97)</f>
        <v/>
      </c>
      <c r="P97" s="26" t="str">
        <f aca="false">IF(COUNTA(A97:N97)=0,"",IF(B97="","Falta el nombre",IF(C97="","Falta la cédula",IF(LEN(C97)&lt;&gt;10,"La cédula debe tener 10 dígitos",IF(F97="","Falta el tipo de plan",IF(G97="","Falta la fecha de inicio",IF(H97="","Falta la fecha de vencimiento",IF(O97&lt;=0,"El vencimiento debe ser posterior al inicio",IF(AND(F97&lt;&gt;"DIARIO",O97&lt;21),"Duración muy corta: revisar fechas",IF(O97&gt;400,"Duración mayor a 400 días: revisar fechas",IF(I97="","Falta la forma de pago",IF(L97="","Falta el monto cobrado","OK"))))))))))))</f>
        <v/>
      </c>
    </row>
    <row r="98" customFormat="false" ht="15" hidden="false" customHeight="false" outlineLevel="0" collapsed="false">
      <c r="A98" s="18"/>
      <c r="B98" s="19"/>
      <c r="C98" s="20"/>
      <c r="D98" s="20"/>
      <c r="E98" s="19"/>
      <c r="F98" s="18"/>
      <c r="G98" s="21"/>
      <c r="H98" s="21"/>
      <c r="I98" s="18"/>
      <c r="J98" s="22"/>
      <c r="K98" s="23"/>
      <c r="L98" s="23"/>
      <c r="M98" s="24"/>
      <c r="N98" s="19"/>
      <c r="O98" s="25" t="str">
        <f aca="false">IF(OR(G98="",H98=""),"",H98-G98)</f>
        <v/>
      </c>
      <c r="P98" s="26" t="str">
        <f aca="false">IF(COUNTA(A98:N98)=0,"",IF(B98="","Falta el nombre",IF(C98="","Falta la cédula",IF(LEN(C98)&lt;&gt;10,"La cédula debe tener 10 dígitos",IF(F98="","Falta el tipo de plan",IF(G98="","Falta la fecha de inicio",IF(H98="","Falta la fecha de vencimiento",IF(O98&lt;=0,"El vencimiento debe ser posterior al inicio",IF(AND(F98&lt;&gt;"DIARIO",O98&lt;21),"Duración muy corta: revisar fechas",IF(O98&gt;400,"Duración mayor a 400 días: revisar fechas",IF(I98="","Falta la forma de pago",IF(L98="","Falta el monto cobrado","OK"))))))))))))</f>
        <v/>
      </c>
    </row>
    <row r="99" customFormat="false" ht="15" hidden="false" customHeight="false" outlineLevel="0" collapsed="false">
      <c r="A99" s="18"/>
      <c r="B99" s="19"/>
      <c r="C99" s="20"/>
      <c r="D99" s="20"/>
      <c r="E99" s="19"/>
      <c r="F99" s="18"/>
      <c r="G99" s="21"/>
      <c r="H99" s="21"/>
      <c r="I99" s="18"/>
      <c r="J99" s="22"/>
      <c r="K99" s="23"/>
      <c r="L99" s="23"/>
      <c r="M99" s="24"/>
      <c r="N99" s="19"/>
      <c r="O99" s="25" t="str">
        <f aca="false">IF(OR(G99="",H99=""),"",H99-G99)</f>
        <v/>
      </c>
      <c r="P99" s="26" t="str">
        <f aca="false">IF(COUNTA(A99:N99)=0,"",IF(B99="","Falta el nombre",IF(C99="","Falta la cédula",IF(LEN(C99)&lt;&gt;10,"La cédula debe tener 10 dígitos",IF(F99="","Falta el tipo de plan",IF(G99="","Falta la fecha de inicio",IF(H99="","Falta la fecha de vencimiento",IF(O99&lt;=0,"El vencimiento debe ser posterior al inicio",IF(AND(F99&lt;&gt;"DIARIO",O99&lt;21),"Duración muy corta: revisar fechas",IF(O99&gt;400,"Duración mayor a 400 días: revisar fechas",IF(I99="","Falta la forma de pago",IF(L99="","Falta el monto cobrado","OK"))))))))))))</f>
        <v/>
      </c>
    </row>
    <row r="100" customFormat="false" ht="15" hidden="false" customHeight="false" outlineLevel="0" collapsed="false">
      <c r="A100" s="18"/>
      <c r="B100" s="19"/>
      <c r="C100" s="20"/>
      <c r="D100" s="20"/>
      <c r="E100" s="19"/>
      <c r="F100" s="18"/>
      <c r="G100" s="21"/>
      <c r="H100" s="21"/>
      <c r="I100" s="18"/>
      <c r="J100" s="22"/>
      <c r="K100" s="23"/>
      <c r="L100" s="23"/>
      <c r="M100" s="24"/>
      <c r="N100" s="19"/>
      <c r="O100" s="25" t="str">
        <f aca="false">IF(OR(G100="",H100=""),"",H100-G100)</f>
        <v/>
      </c>
      <c r="P100" s="26" t="str">
        <f aca="false">IF(COUNTA(A100:N100)=0,"",IF(B100="","Falta el nombre",IF(C100="","Falta la cédula",IF(LEN(C100)&lt;&gt;10,"La cédula debe tener 10 dígitos",IF(F100="","Falta el tipo de plan",IF(G100="","Falta la fecha de inicio",IF(H100="","Falta la fecha de vencimiento",IF(O100&lt;=0,"El vencimiento debe ser posterior al inicio",IF(AND(F100&lt;&gt;"DIARIO",O100&lt;21),"Duración muy corta: revisar fechas",IF(O100&gt;400,"Duración mayor a 400 días: revisar fechas",IF(I100="","Falta la forma de pago",IF(L100="","Falta el monto cobrado","OK"))))))))))))</f>
        <v/>
      </c>
    </row>
    <row r="101" customFormat="false" ht="15" hidden="false" customHeight="false" outlineLevel="0" collapsed="false">
      <c r="A101" s="18"/>
      <c r="B101" s="19"/>
      <c r="C101" s="20"/>
      <c r="D101" s="20"/>
      <c r="E101" s="19"/>
      <c r="F101" s="18"/>
      <c r="G101" s="21"/>
      <c r="H101" s="21"/>
      <c r="I101" s="18"/>
      <c r="J101" s="22"/>
      <c r="K101" s="23"/>
      <c r="L101" s="23"/>
      <c r="M101" s="24"/>
      <c r="N101" s="19"/>
      <c r="O101" s="25" t="str">
        <f aca="false">IF(OR(G101="",H101=""),"",H101-G101)</f>
        <v/>
      </c>
      <c r="P101" s="26" t="str">
        <f aca="false">IF(COUNTA(A101:N101)=0,"",IF(B101="","Falta el nombre",IF(C101="","Falta la cédula",IF(LEN(C101)&lt;&gt;10,"La cédula debe tener 10 dígitos",IF(F101="","Falta el tipo de plan",IF(G101="","Falta la fecha de inicio",IF(H101="","Falta la fecha de vencimiento",IF(O101&lt;=0,"El vencimiento debe ser posterior al inicio",IF(AND(F101&lt;&gt;"DIARIO",O101&lt;21),"Duración muy corta: revisar fechas",IF(O101&gt;400,"Duración mayor a 400 días: revisar fechas",IF(I101="","Falta la forma de pago",IF(L101="","Falta el monto cobrado","OK"))))))))))))</f>
        <v/>
      </c>
    </row>
    <row r="102" customFormat="false" ht="15" hidden="false" customHeight="false" outlineLevel="0" collapsed="false">
      <c r="A102" s="18"/>
      <c r="B102" s="19"/>
      <c r="C102" s="20"/>
      <c r="D102" s="20"/>
      <c r="E102" s="19"/>
      <c r="F102" s="18"/>
      <c r="G102" s="21"/>
      <c r="H102" s="21"/>
      <c r="I102" s="18"/>
      <c r="J102" s="22"/>
      <c r="K102" s="23"/>
      <c r="L102" s="23"/>
      <c r="M102" s="24"/>
      <c r="N102" s="19"/>
      <c r="O102" s="25" t="str">
        <f aca="false">IF(OR(G102="",H102=""),"",H102-G102)</f>
        <v/>
      </c>
      <c r="P102" s="26" t="str">
        <f aca="false">IF(COUNTA(A102:N102)=0,"",IF(B102="","Falta el nombre",IF(C102="","Falta la cédula",IF(LEN(C102)&lt;&gt;10,"La cédula debe tener 10 dígitos",IF(F102="","Falta el tipo de plan",IF(G102="","Falta la fecha de inicio",IF(H102="","Falta la fecha de vencimiento",IF(O102&lt;=0,"El vencimiento debe ser posterior al inicio",IF(AND(F102&lt;&gt;"DIARIO",O102&lt;21),"Duración muy corta: revisar fechas",IF(O102&gt;400,"Duración mayor a 400 días: revisar fechas",IF(I102="","Falta la forma de pago",IF(L102="","Falta el monto cobrado","OK"))))))))))))</f>
        <v/>
      </c>
    </row>
    <row r="103" customFormat="false" ht="15" hidden="false" customHeight="false" outlineLevel="0" collapsed="false">
      <c r="A103" s="18"/>
      <c r="B103" s="19"/>
      <c r="C103" s="20"/>
      <c r="D103" s="20"/>
      <c r="E103" s="19"/>
      <c r="F103" s="18"/>
      <c r="G103" s="21"/>
      <c r="H103" s="21"/>
      <c r="I103" s="18"/>
      <c r="J103" s="22"/>
      <c r="K103" s="23"/>
      <c r="L103" s="23"/>
      <c r="M103" s="24"/>
      <c r="N103" s="19"/>
      <c r="O103" s="25" t="str">
        <f aca="false">IF(OR(G103="",H103=""),"",H103-G103)</f>
        <v/>
      </c>
      <c r="P103" s="26" t="str">
        <f aca="false">IF(COUNTA(A103:N103)=0,"",IF(B103="","Falta el nombre",IF(C103="","Falta la cédula",IF(LEN(C103)&lt;&gt;10,"La cédula debe tener 10 dígitos",IF(F103="","Falta el tipo de plan",IF(G103="","Falta la fecha de inicio",IF(H103="","Falta la fecha de vencimiento",IF(O103&lt;=0,"El vencimiento debe ser posterior al inicio",IF(AND(F103&lt;&gt;"DIARIO",O103&lt;21),"Duración muy corta: revisar fechas",IF(O103&gt;400,"Duración mayor a 400 días: revisar fechas",IF(I103="","Falta la forma de pago",IF(L103="","Falta el monto cobrado","OK"))))))))))))</f>
        <v/>
      </c>
    </row>
    <row r="104" customFormat="false" ht="15" hidden="false" customHeight="false" outlineLevel="0" collapsed="false">
      <c r="A104" s="18"/>
      <c r="B104" s="19"/>
      <c r="C104" s="20"/>
      <c r="D104" s="20"/>
      <c r="E104" s="19"/>
      <c r="F104" s="18"/>
      <c r="G104" s="21"/>
      <c r="H104" s="21"/>
      <c r="I104" s="18"/>
      <c r="J104" s="22"/>
      <c r="K104" s="23"/>
      <c r="L104" s="23"/>
      <c r="M104" s="24"/>
      <c r="N104" s="19"/>
      <c r="O104" s="25" t="str">
        <f aca="false">IF(OR(G104="",H104=""),"",H104-G104)</f>
        <v/>
      </c>
      <c r="P104" s="26" t="str">
        <f aca="false">IF(COUNTA(A104:N104)=0,"",IF(B104="","Falta el nombre",IF(C104="","Falta la cédula",IF(LEN(C104)&lt;&gt;10,"La cédula debe tener 10 dígitos",IF(F104="","Falta el tipo de plan",IF(G104="","Falta la fecha de inicio",IF(H104="","Falta la fecha de vencimiento",IF(O104&lt;=0,"El vencimiento debe ser posterior al inicio",IF(AND(F104&lt;&gt;"DIARIO",O104&lt;21),"Duración muy corta: revisar fechas",IF(O104&gt;400,"Duración mayor a 400 días: revisar fechas",IF(I104="","Falta la forma de pago",IF(L104="","Falta el monto cobrado","OK"))))))))))))</f>
        <v/>
      </c>
    </row>
    <row r="105" customFormat="false" ht="15" hidden="false" customHeight="false" outlineLevel="0" collapsed="false">
      <c r="A105" s="18"/>
      <c r="B105" s="19"/>
      <c r="C105" s="20"/>
      <c r="D105" s="20"/>
      <c r="E105" s="19"/>
      <c r="F105" s="18"/>
      <c r="G105" s="21"/>
      <c r="H105" s="21"/>
      <c r="I105" s="18"/>
      <c r="J105" s="22"/>
      <c r="K105" s="23"/>
      <c r="L105" s="23"/>
      <c r="M105" s="24"/>
      <c r="N105" s="19"/>
      <c r="O105" s="25" t="str">
        <f aca="false">IF(OR(G105="",H105=""),"",H105-G105)</f>
        <v/>
      </c>
      <c r="P105" s="26" t="str">
        <f aca="false">IF(COUNTA(A105:N105)=0,"",IF(B105="","Falta el nombre",IF(C105="","Falta la cédula",IF(LEN(C105)&lt;&gt;10,"La cédula debe tener 10 dígitos",IF(F105="","Falta el tipo de plan",IF(G105="","Falta la fecha de inicio",IF(H105="","Falta la fecha de vencimiento",IF(O105&lt;=0,"El vencimiento debe ser posterior al inicio",IF(AND(F105&lt;&gt;"DIARIO",O105&lt;21),"Duración muy corta: revisar fechas",IF(O105&gt;400,"Duración mayor a 400 días: revisar fechas",IF(I105="","Falta la forma de pago",IF(L105="","Falta el monto cobrado","OK"))))))))))))</f>
        <v/>
      </c>
    </row>
    <row r="106" customFormat="false" ht="15" hidden="false" customHeight="false" outlineLevel="0" collapsed="false">
      <c r="A106" s="18"/>
      <c r="B106" s="19"/>
      <c r="C106" s="20"/>
      <c r="D106" s="20"/>
      <c r="E106" s="19"/>
      <c r="F106" s="18"/>
      <c r="G106" s="21"/>
      <c r="H106" s="21"/>
      <c r="I106" s="18"/>
      <c r="J106" s="22"/>
      <c r="K106" s="23"/>
      <c r="L106" s="23"/>
      <c r="M106" s="24"/>
      <c r="N106" s="19"/>
      <c r="O106" s="25" t="str">
        <f aca="false">IF(OR(G106="",H106=""),"",H106-G106)</f>
        <v/>
      </c>
      <c r="P106" s="26" t="str">
        <f aca="false">IF(COUNTA(A106:N106)=0,"",IF(B106="","Falta el nombre",IF(C106="","Falta la cédula",IF(LEN(C106)&lt;&gt;10,"La cédula debe tener 10 dígitos",IF(F106="","Falta el tipo de plan",IF(G106="","Falta la fecha de inicio",IF(H106="","Falta la fecha de vencimiento",IF(O106&lt;=0,"El vencimiento debe ser posterior al inicio",IF(AND(F106&lt;&gt;"DIARIO",O106&lt;21),"Duración muy corta: revisar fechas",IF(O106&gt;400,"Duración mayor a 400 días: revisar fechas",IF(I106="","Falta la forma de pago",IF(L106="","Falta el monto cobrado","OK"))))))))))))</f>
        <v/>
      </c>
    </row>
    <row r="107" customFormat="false" ht="15" hidden="false" customHeight="false" outlineLevel="0" collapsed="false">
      <c r="A107" s="18"/>
      <c r="B107" s="19"/>
      <c r="C107" s="20"/>
      <c r="D107" s="20"/>
      <c r="E107" s="19"/>
      <c r="F107" s="18"/>
      <c r="G107" s="21"/>
      <c r="H107" s="21"/>
      <c r="I107" s="18"/>
      <c r="J107" s="22"/>
      <c r="K107" s="23"/>
      <c r="L107" s="23"/>
      <c r="M107" s="24"/>
      <c r="N107" s="19"/>
      <c r="O107" s="25" t="str">
        <f aca="false">IF(OR(G107="",H107=""),"",H107-G107)</f>
        <v/>
      </c>
      <c r="P107" s="26" t="str">
        <f aca="false">IF(COUNTA(A107:N107)=0,"",IF(B107="","Falta el nombre",IF(C107="","Falta la cédula",IF(LEN(C107)&lt;&gt;10,"La cédula debe tener 10 dígitos",IF(F107="","Falta el tipo de plan",IF(G107="","Falta la fecha de inicio",IF(H107="","Falta la fecha de vencimiento",IF(O107&lt;=0,"El vencimiento debe ser posterior al inicio",IF(AND(F107&lt;&gt;"DIARIO",O107&lt;21),"Duración muy corta: revisar fechas",IF(O107&gt;400,"Duración mayor a 400 días: revisar fechas",IF(I107="","Falta la forma de pago",IF(L107="","Falta el monto cobrado","OK"))))))))))))</f>
        <v/>
      </c>
    </row>
    <row r="108" customFormat="false" ht="15" hidden="false" customHeight="false" outlineLevel="0" collapsed="false">
      <c r="A108" s="18"/>
      <c r="B108" s="19"/>
      <c r="C108" s="20"/>
      <c r="D108" s="20"/>
      <c r="E108" s="19"/>
      <c r="F108" s="18"/>
      <c r="G108" s="21"/>
      <c r="H108" s="21"/>
      <c r="I108" s="18"/>
      <c r="J108" s="22"/>
      <c r="K108" s="23"/>
      <c r="L108" s="23"/>
      <c r="M108" s="24"/>
      <c r="N108" s="19"/>
      <c r="O108" s="25" t="str">
        <f aca="false">IF(OR(G108="",H108=""),"",H108-G108)</f>
        <v/>
      </c>
      <c r="P108" s="26" t="str">
        <f aca="false">IF(COUNTA(A108:N108)=0,"",IF(B108="","Falta el nombre",IF(C108="","Falta la cédula",IF(LEN(C108)&lt;&gt;10,"La cédula debe tener 10 dígitos",IF(F108="","Falta el tipo de plan",IF(G108="","Falta la fecha de inicio",IF(H108="","Falta la fecha de vencimiento",IF(O108&lt;=0,"El vencimiento debe ser posterior al inicio",IF(AND(F108&lt;&gt;"DIARIO",O108&lt;21),"Duración muy corta: revisar fechas",IF(O108&gt;400,"Duración mayor a 400 días: revisar fechas",IF(I108="","Falta la forma de pago",IF(L108="","Falta el monto cobrado","OK"))))))))))))</f>
        <v/>
      </c>
    </row>
    <row r="109" customFormat="false" ht="15" hidden="false" customHeight="false" outlineLevel="0" collapsed="false">
      <c r="A109" s="18"/>
      <c r="B109" s="19"/>
      <c r="C109" s="20"/>
      <c r="D109" s="20"/>
      <c r="E109" s="19"/>
      <c r="F109" s="18"/>
      <c r="G109" s="21"/>
      <c r="H109" s="21"/>
      <c r="I109" s="18"/>
      <c r="J109" s="22"/>
      <c r="K109" s="23"/>
      <c r="L109" s="23"/>
      <c r="M109" s="24"/>
      <c r="N109" s="19"/>
      <c r="O109" s="25" t="str">
        <f aca="false">IF(OR(G109="",H109=""),"",H109-G109)</f>
        <v/>
      </c>
      <c r="P109" s="26" t="str">
        <f aca="false">IF(COUNTA(A109:N109)=0,"",IF(B109="","Falta el nombre",IF(C109="","Falta la cédula",IF(LEN(C109)&lt;&gt;10,"La cédula debe tener 10 dígitos",IF(F109="","Falta el tipo de plan",IF(G109="","Falta la fecha de inicio",IF(H109="","Falta la fecha de vencimiento",IF(O109&lt;=0,"El vencimiento debe ser posterior al inicio",IF(AND(F109&lt;&gt;"DIARIO",O109&lt;21),"Duración muy corta: revisar fechas",IF(O109&gt;400,"Duración mayor a 400 días: revisar fechas",IF(I109="","Falta la forma de pago",IF(L109="","Falta el monto cobrado","OK"))))))))))))</f>
        <v/>
      </c>
    </row>
    <row r="110" customFormat="false" ht="15" hidden="false" customHeight="false" outlineLevel="0" collapsed="false">
      <c r="A110" s="18"/>
      <c r="B110" s="19"/>
      <c r="C110" s="20"/>
      <c r="D110" s="20"/>
      <c r="E110" s="19"/>
      <c r="F110" s="18"/>
      <c r="G110" s="21"/>
      <c r="H110" s="21"/>
      <c r="I110" s="18"/>
      <c r="J110" s="22"/>
      <c r="K110" s="23"/>
      <c r="L110" s="23"/>
      <c r="M110" s="24"/>
      <c r="N110" s="19"/>
      <c r="O110" s="25" t="str">
        <f aca="false">IF(OR(G110="",H110=""),"",H110-G110)</f>
        <v/>
      </c>
      <c r="P110" s="26" t="str">
        <f aca="false">IF(COUNTA(A110:N110)=0,"",IF(B110="","Falta el nombre",IF(C110="","Falta la cédula",IF(LEN(C110)&lt;&gt;10,"La cédula debe tener 10 dígitos",IF(F110="","Falta el tipo de plan",IF(G110="","Falta la fecha de inicio",IF(H110="","Falta la fecha de vencimiento",IF(O110&lt;=0,"El vencimiento debe ser posterior al inicio",IF(AND(F110&lt;&gt;"DIARIO",O110&lt;21),"Duración muy corta: revisar fechas",IF(O110&gt;400,"Duración mayor a 400 días: revisar fechas",IF(I110="","Falta la forma de pago",IF(L110="","Falta el monto cobrado","OK"))))))))))))</f>
        <v/>
      </c>
    </row>
    <row r="111" customFormat="false" ht="15" hidden="false" customHeight="false" outlineLevel="0" collapsed="false">
      <c r="A111" s="18"/>
      <c r="B111" s="19"/>
      <c r="C111" s="20"/>
      <c r="D111" s="20"/>
      <c r="E111" s="19"/>
      <c r="F111" s="18"/>
      <c r="G111" s="21"/>
      <c r="H111" s="21"/>
      <c r="I111" s="18"/>
      <c r="J111" s="22"/>
      <c r="K111" s="23"/>
      <c r="L111" s="23"/>
      <c r="M111" s="24"/>
      <c r="N111" s="19"/>
      <c r="O111" s="25" t="str">
        <f aca="false">IF(OR(G111="",H111=""),"",H111-G111)</f>
        <v/>
      </c>
      <c r="P111" s="26" t="str">
        <f aca="false">IF(COUNTA(A111:N111)=0,"",IF(B111="","Falta el nombre",IF(C111="","Falta la cédula",IF(LEN(C111)&lt;&gt;10,"La cédula debe tener 10 dígitos",IF(F111="","Falta el tipo de plan",IF(G111="","Falta la fecha de inicio",IF(H111="","Falta la fecha de vencimiento",IF(O111&lt;=0,"El vencimiento debe ser posterior al inicio",IF(AND(F111&lt;&gt;"DIARIO",O111&lt;21),"Duración muy corta: revisar fechas",IF(O111&gt;400,"Duración mayor a 400 días: revisar fechas",IF(I111="","Falta la forma de pago",IF(L111="","Falta el monto cobrado","OK"))))))))))))</f>
        <v/>
      </c>
    </row>
    <row r="112" customFormat="false" ht="15" hidden="false" customHeight="false" outlineLevel="0" collapsed="false">
      <c r="A112" s="18"/>
      <c r="B112" s="19"/>
      <c r="C112" s="20"/>
      <c r="D112" s="20"/>
      <c r="E112" s="19"/>
      <c r="F112" s="18"/>
      <c r="G112" s="21"/>
      <c r="H112" s="21"/>
      <c r="I112" s="18"/>
      <c r="J112" s="22"/>
      <c r="K112" s="23"/>
      <c r="L112" s="23"/>
      <c r="M112" s="24"/>
      <c r="N112" s="19"/>
      <c r="O112" s="25" t="str">
        <f aca="false">IF(OR(G112="",H112=""),"",H112-G112)</f>
        <v/>
      </c>
      <c r="P112" s="26" t="str">
        <f aca="false">IF(COUNTA(A112:N112)=0,"",IF(B112="","Falta el nombre",IF(C112="","Falta la cédula",IF(LEN(C112)&lt;&gt;10,"La cédula debe tener 10 dígitos",IF(F112="","Falta el tipo de plan",IF(G112="","Falta la fecha de inicio",IF(H112="","Falta la fecha de vencimiento",IF(O112&lt;=0,"El vencimiento debe ser posterior al inicio",IF(AND(F112&lt;&gt;"DIARIO",O112&lt;21),"Duración muy corta: revisar fechas",IF(O112&gt;400,"Duración mayor a 400 días: revisar fechas",IF(I112="","Falta la forma de pago",IF(L112="","Falta el monto cobrado","OK"))))))))))))</f>
        <v/>
      </c>
    </row>
    <row r="113" customFormat="false" ht="15" hidden="false" customHeight="false" outlineLevel="0" collapsed="false">
      <c r="A113" s="18"/>
      <c r="B113" s="19"/>
      <c r="C113" s="20"/>
      <c r="D113" s="20"/>
      <c r="E113" s="19"/>
      <c r="F113" s="18"/>
      <c r="G113" s="21"/>
      <c r="H113" s="21"/>
      <c r="I113" s="18"/>
      <c r="J113" s="22"/>
      <c r="K113" s="23"/>
      <c r="L113" s="23"/>
      <c r="M113" s="24"/>
      <c r="N113" s="19"/>
      <c r="O113" s="25" t="str">
        <f aca="false">IF(OR(G113="",H113=""),"",H113-G113)</f>
        <v/>
      </c>
      <c r="P113" s="26" t="str">
        <f aca="false">IF(COUNTA(A113:N113)=0,"",IF(B113="","Falta el nombre",IF(C113="","Falta la cédula",IF(LEN(C113)&lt;&gt;10,"La cédula debe tener 10 dígitos",IF(F113="","Falta el tipo de plan",IF(G113="","Falta la fecha de inicio",IF(H113="","Falta la fecha de vencimiento",IF(O113&lt;=0,"El vencimiento debe ser posterior al inicio",IF(AND(F113&lt;&gt;"DIARIO",O113&lt;21),"Duración muy corta: revisar fechas",IF(O113&gt;400,"Duración mayor a 400 días: revisar fechas",IF(I113="","Falta la forma de pago",IF(L113="","Falta el monto cobrado","OK"))))))))))))</f>
        <v/>
      </c>
    </row>
    <row r="114" customFormat="false" ht="15" hidden="false" customHeight="false" outlineLevel="0" collapsed="false">
      <c r="A114" s="18"/>
      <c r="B114" s="19"/>
      <c r="C114" s="20"/>
      <c r="D114" s="20"/>
      <c r="E114" s="19"/>
      <c r="F114" s="18"/>
      <c r="G114" s="21"/>
      <c r="H114" s="21"/>
      <c r="I114" s="18"/>
      <c r="J114" s="22"/>
      <c r="K114" s="23"/>
      <c r="L114" s="23"/>
      <c r="M114" s="24"/>
      <c r="N114" s="19"/>
      <c r="O114" s="25" t="str">
        <f aca="false">IF(OR(G114="",H114=""),"",H114-G114)</f>
        <v/>
      </c>
      <c r="P114" s="26" t="str">
        <f aca="false">IF(COUNTA(A114:N114)=0,"",IF(B114="","Falta el nombre",IF(C114="","Falta la cédula",IF(LEN(C114)&lt;&gt;10,"La cédula debe tener 10 dígitos",IF(F114="","Falta el tipo de plan",IF(G114="","Falta la fecha de inicio",IF(H114="","Falta la fecha de vencimiento",IF(O114&lt;=0,"El vencimiento debe ser posterior al inicio",IF(AND(F114&lt;&gt;"DIARIO",O114&lt;21),"Duración muy corta: revisar fechas",IF(O114&gt;400,"Duración mayor a 400 días: revisar fechas",IF(I114="","Falta la forma de pago",IF(L114="","Falta el monto cobrado","OK"))))))))))))</f>
        <v/>
      </c>
    </row>
    <row r="115" customFormat="false" ht="15" hidden="false" customHeight="false" outlineLevel="0" collapsed="false">
      <c r="A115" s="18"/>
      <c r="B115" s="19"/>
      <c r="C115" s="20"/>
      <c r="D115" s="20"/>
      <c r="E115" s="19"/>
      <c r="F115" s="18"/>
      <c r="G115" s="21"/>
      <c r="H115" s="21"/>
      <c r="I115" s="18"/>
      <c r="J115" s="22"/>
      <c r="K115" s="23"/>
      <c r="L115" s="23"/>
      <c r="M115" s="24"/>
      <c r="N115" s="19"/>
      <c r="O115" s="25" t="str">
        <f aca="false">IF(OR(G115="",H115=""),"",H115-G115)</f>
        <v/>
      </c>
      <c r="P115" s="26" t="str">
        <f aca="false">IF(COUNTA(A115:N115)=0,"",IF(B115="","Falta el nombre",IF(C115="","Falta la cédula",IF(LEN(C115)&lt;&gt;10,"La cédula debe tener 10 dígitos",IF(F115="","Falta el tipo de plan",IF(G115="","Falta la fecha de inicio",IF(H115="","Falta la fecha de vencimiento",IF(O115&lt;=0,"El vencimiento debe ser posterior al inicio",IF(AND(F115&lt;&gt;"DIARIO",O115&lt;21),"Duración muy corta: revisar fechas",IF(O115&gt;400,"Duración mayor a 400 días: revisar fechas",IF(I115="","Falta la forma de pago",IF(L115="","Falta el monto cobrado","OK"))))))))))))</f>
        <v/>
      </c>
    </row>
    <row r="116" customFormat="false" ht="15" hidden="false" customHeight="false" outlineLevel="0" collapsed="false">
      <c r="A116" s="18"/>
      <c r="B116" s="19"/>
      <c r="C116" s="20"/>
      <c r="D116" s="20"/>
      <c r="E116" s="19"/>
      <c r="F116" s="18"/>
      <c r="G116" s="21"/>
      <c r="H116" s="21"/>
      <c r="I116" s="18"/>
      <c r="J116" s="22"/>
      <c r="K116" s="23"/>
      <c r="L116" s="23"/>
      <c r="M116" s="24"/>
      <c r="N116" s="19"/>
      <c r="O116" s="25" t="str">
        <f aca="false">IF(OR(G116="",H116=""),"",H116-G116)</f>
        <v/>
      </c>
      <c r="P116" s="26" t="str">
        <f aca="false">IF(COUNTA(A116:N116)=0,"",IF(B116="","Falta el nombre",IF(C116="","Falta la cédula",IF(LEN(C116)&lt;&gt;10,"La cédula debe tener 10 dígitos",IF(F116="","Falta el tipo de plan",IF(G116="","Falta la fecha de inicio",IF(H116="","Falta la fecha de vencimiento",IF(O116&lt;=0,"El vencimiento debe ser posterior al inicio",IF(AND(F116&lt;&gt;"DIARIO",O116&lt;21),"Duración muy corta: revisar fechas",IF(O116&gt;400,"Duración mayor a 400 días: revisar fechas",IF(I116="","Falta la forma de pago",IF(L116="","Falta el monto cobrado","OK"))))))))))))</f>
        <v/>
      </c>
    </row>
    <row r="117" customFormat="false" ht="15" hidden="false" customHeight="false" outlineLevel="0" collapsed="false">
      <c r="A117" s="18"/>
      <c r="B117" s="19"/>
      <c r="C117" s="20"/>
      <c r="D117" s="20"/>
      <c r="E117" s="19"/>
      <c r="F117" s="18"/>
      <c r="G117" s="21"/>
      <c r="H117" s="21"/>
      <c r="I117" s="18"/>
      <c r="J117" s="22"/>
      <c r="K117" s="23"/>
      <c r="L117" s="23"/>
      <c r="M117" s="24"/>
      <c r="N117" s="19"/>
      <c r="O117" s="25" t="str">
        <f aca="false">IF(OR(G117="",H117=""),"",H117-G117)</f>
        <v/>
      </c>
      <c r="P117" s="26" t="str">
        <f aca="false">IF(COUNTA(A117:N117)=0,"",IF(B117="","Falta el nombre",IF(C117="","Falta la cédula",IF(LEN(C117)&lt;&gt;10,"La cédula debe tener 10 dígitos",IF(F117="","Falta el tipo de plan",IF(G117="","Falta la fecha de inicio",IF(H117="","Falta la fecha de vencimiento",IF(O117&lt;=0,"El vencimiento debe ser posterior al inicio",IF(AND(F117&lt;&gt;"DIARIO",O117&lt;21),"Duración muy corta: revisar fechas",IF(O117&gt;400,"Duración mayor a 400 días: revisar fechas",IF(I117="","Falta la forma de pago",IF(L117="","Falta el monto cobrado","OK"))))))))))))</f>
        <v/>
      </c>
    </row>
    <row r="118" customFormat="false" ht="15" hidden="false" customHeight="false" outlineLevel="0" collapsed="false">
      <c r="A118" s="18"/>
      <c r="B118" s="19"/>
      <c r="C118" s="20"/>
      <c r="D118" s="20"/>
      <c r="E118" s="19"/>
      <c r="F118" s="18"/>
      <c r="G118" s="21"/>
      <c r="H118" s="21"/>
      <c r="I118" s="18"/>
      <c r="J118" s="22"/>
      <c r="K118" s="23"/>
      <c r="L118" s="23"/>
      <c r="M118" s="24"/>
      <c r="N118" s="19"/>
      <c r="O118" s="25" t="str">
        <f aca="false">IF(OR(G118="",H118=""),"",H118-G118)</f>
        <v/>
      </c>
      <c r="P118" s="26" t="str">
        <f aca="false">IF(COUNTA(A118:N118)=0,"",IF(B118="","Falta el nombre",IF(C118="","Falta la cédula",IF(LEN(C118)&lt;&gt;10,"La cédula debe tener 10 dígitos",IF(F118="","Falta el tipo de plan",IF(G118="","Falta la fecha de inicio",IF(H118="","Falta la fecha de vencimiento",IF(O118&lt;=0,"El vencimiento debe ser posterior al inicio",IF(AND(F118&lt;&gt;"DIARIO",O118&lt;21),"Duración muy corta: revisar fechas",IF(O118&gt;400,"Duración mayor a 400 días: revisar fechas",IF(I118="","Falta la forma de pago",IF(L118="","Falta el monto cobrado","OK"))))))))))))</f>
        <v/>
      </c>
    </row>
    <row r="119" customFormat="false" ht="15" hidden="false" customHeight="false" outlineLevel="0" collapsed="false">
      <c r="A119" s="18"/>
      <c r="B119" s="19"/>
      <c r="C119" s="20"/>
      <c r="D119" s="20"/>
      <c r="E119" s="19"/>
      <c r="F119" s="18"/>
      <c r="G119" s="21"/>
      <c r="H119" s="21"/>
      <c r="I119" s="18"/>
      <c r="J119" s="22"/>
      <c r="K119" s="23"/>
      <c r="L119" s="23"/>
      <c r="M119" s="24"/>
      <c r="N119" s="19"/>
      <c r="O119" s="25" t="str">
        <f aca="false">IF(OR(G119="",H119=""),"",H119-G119)</f>
        <v/>
      </c>
      <c r="P119" s="26" t="str">
        <f aca="false">IF(COUNTA(A119:N119)=0,"",IF(B119="","Falta el nombre",IF(C119="","Falta la cédula",IF(LEN(C119)&lt;&gt;10,"La cédula debe tener 10 dígitos",IF(F119="","Falta el tipo de plan",IF(G119="","Falta la fecha de inicio",IF(H119="","Falta la fecha de vencimiento",IF(O119&lt;=0,"El vencimiento debe ser posterior al inicio",IF(AND(F119&lt;&gt;"DIARIO",O119&lt;21),"Duración muy corta: revisar fechas",IF(O119&gt;400,"Duración mayor a 400 días: revisar fechas",IF(I119="","Falta la forma de pago",IF(L119="","Falta el monto cobrado","OK"))))))))))))</f>
        <v/>
      </c>
    </row>
    <row r="120" customFormat="false" ht="15" hidden="false" customHeight="false" outlineLevel="0" collapsed="false">
      <c r="A120" s="18"/>
      <c r="B120" s="19"/>
      <c r="C120" s="20"/>
      <c r="D120" s="20"/>
      <c r="E120" s="19"/>
      <c r="F120" s="18"/>
      <c r="G120" s="21"/>
      <c r="H120" s="21"/>
      <c r="I120" s="18"/>
      <c r="J120" s="22"/>
      <c r="K120" s="23"/>
      <c r="L120" s="23"/>
      <c r="M120" s="24"/>
      <c r="N120" s="19"/>
      <c r="O120" s="25" t="str">
        <f aca="false">IF(OR(G120="",H120=""),"",H120-G120)</f>
        <v/>
      </c>
      <c r="P120" s="26" t="str">
        <f aca="false">IF(COUNTA(A120:N120)=0,"",IF(B120="","Falta el nombre",IF(C120="","Falta la cédula",IF(LEN(C120)&lt;&gt;10,"La cédula debe tener 10 dígitos",IF(F120="","Falta el tipo de plan",IF(G120="","Falta la fecha de inicio",IF(H120="","Falta la fecha de vencimiento",IF(O120&lt;=0,"El vencimiento debe ser posterior al inicio",IF(AND(F120&lt;&gt;"DIARIO",O120&lt;21),"Duración muy corta: revisar fechas",IF(O120&gt;400,"Duración mayor a 400 días: revisar fechas",IF(I120="","Falta la forma de pago",IF(L120="","Falta el monto cobrado","OK"))))))))))))</f>
        <v/>
      </c>
    </row>
    <row r="121" customFormat="false" ht="15" hidden="false" customHeight="false" outlineLevel="0" collapsed="false">
      <c r="A121" s="18"/>
      <c r="B121" s="19"/>
      <c r="C121" s="20"/>
      <c r="D121" s="20"/>
      <c r="E121" s="19"/>
      <c r="F121" s="18"/>
      <c r="G121" s="21"/>
      <c r="H121" s="21"/>
      <c r="I121" s="18"/>
      <c r="J121" s="22"/>
      <c r="K121" s="23"/>
      <c r="L121" s="23"/>
      <c r="M121" s="24"/>
      <c r="N121" s="19"/>
      <c r="O121" s="25" t="str">
        <f aca="false">IF(OR(G121="",H121=""),"",H121-G121)</f>
        <v/>
      </c>
      <c r="P121" s="26" t="str">
        <f aca="false">IF(COUNTA(A121:N121)=0,"",IF(B121="","Falta el nombre",IF(C121="","Falta la cédula",IF(LEN(C121)&lt;&gt;10,"La cédula debe tener 10 dígitos",IF(F121="","Falta el tipo de plan",IF(G121="","Falta la fecha de inicio",IF(H121="","Falta la fecha de vencimiento",IF(O121&lt;=0,"El vencimiento debe ser posterior al inicio",IF(AND(F121&lt;&gt;"DIARIO",O121&lt;21),"Duración muy corta: revisar fechas",IF(O121&gt;400,"Duración mayor a 400 días: revisar fechas",IF(I121="","Falta la forma de pago",IF(L121="","Falta el monto cobrado","OK"))))))))))))</f>
        <v/>
      </c>
    </row>
    <row r="122" customFormat="false" ht="15" hidden="false" customHeight="false" outlineLevel="0" collapsed="false">
      <c r="A122" s="18"/>
      <c r="B122" s="19"/>
      <c r="C122" s="20"/>
      <c r="D122" s="20"/>
      <c r="E122" s="19"/>
      <c r="F122" s="18"/>
      <c r="G122" s="21"/>
      <c r="H122" s="21"/>
      <c r="I122" s="18"/>
      <c r="J122" s="22"/>
      <c r="K122" s="23"/>
      <c r="L122" s="23"/>
      <c r="M122" s="24"/>
      <c r="N122" s="19"/>
      <c r="O122" s="25" t="str">
        <f aca="false">IF(OR(G122="",H122=""),"",H122-G122)</f>
        <v/>
      </c>
      <c r="P122" s="26" t="str">
        <f aca="false">IF(COUNTA(A122:N122)=0,"",IF(B122="","Falta el nombre",IF(C122="","Falta la cédula",IF(LEN(C122)&lt;&gt;10,"La cédula debe tener 10 dígitos",IF(F122="","Falta el tipo de plan",IF(G122="","Falta la fecha de inicio",IF(H122="","Falta la fecha de vencimiento",IF(O122&lt;=0,"El vencimiento debe ser posterior al inicio",IF(AND(F122&lt;&gt;"DIARIO",O122&lt;21),"Duración muy corta: revisar fechas",IF(O122&gt;400,"Duración mayor a 400 días: revisar fechas",IF(I122="","Falta la forma de pago",IF(L122="","Falta el monto cobrado","OK"))))))))))))</f>
        <v/>
      </c>
    </row>
    <row r="123" customFormat="false" ht="15" hidden="false" customHeight="false" outlineLevel="0" collapsed="false">
      <c r="A123" s="18"/>
      <c r="B123" s="19"/>
      <c r="C123" s="20"/>
      <c r="D123" s="20"/>
      <c r="E123" s="19"/>
      <c r="F123" s="18"/>
      <c r="G123" s="21"/>
      <c r="H123" s="21"/>
      <c r="I123" s="18"/>
      <c r="J123" s="22"/>
      <c r="K123" s="23"/>
      <c r="L123" s="23"/>
      <c r="M123" s="24"/>
      <c r="N123" s="19"/>
      <c r="O123" s="25" t="str">
        <f aca="false">IF(OR(G123="",H123=""),"",H123-G123)</f>
        <v/>
      </c>
      <c r="P123" s="26" t="str">
        <f aca="false">IF(COUNTA(A123:N123)=0,"",IF(B123="","Falta el nombre",IF(C123="","Falta la cédula",IF(LEN(C123)&lt;&gt;10,"La cédula debe tener 10 dígitos",IF(F123="","Falta el tipo de plan",IF(G123="","Falta la fecha de inicio",IF(H123="","Falta la fecha de vencimiento",IF(O123&lt;=0,"El vencimiento debe ser posterior al inicio",IF(AND(F123&lt;&gt;"DIARIO",O123&lt;21),"Duración muy corta: revisar fechas",IF(O123&gt;400,"Duración mayor a 400 días: revisar fechas",IF(I123="","Falta la forma de pago",IF(L123="","Falta el monto cobrado","OK"))))))))))))</f>
        <v/>
      </c>
    </row>
    <row r="124" customFormat="false" ht="15" hidden="false" customHeight="false" outlineLevel="0" collapsed="false">
      <c r="A124" s="18"/>
      <c r="B124" s="19"/>
      <c r="C124" s="20"/>
      <c r="D124" s="20"/>
      <c r="E124" s="19"/>
      <c r="F124" s="18"/>
      <c r="G124" s="21"/>
      <c r="H124" s="21"/>
      <c r="I124" s="18"/>
      <c r="J124" s="22"/>
      <c r="K124" s="23"/>
      <c r="L124" s="23"/>
      <c r="M124" s="24"/>
      <c r="N124" s="19"/>
      <c r="O124" s="25" t="str">
        <f aca="false">IF(OR(G124="",H124=""),"",H124-G124)</f>
        <v/>
      </c>
      <c r="P124" s="26" t="str">
        <f aca="false">IF(COUNTA(A124:N124)=0,"",IF(B124="","Falta el nombre",IF(C124="","Falta la cédula",IF(LEN(C124)&lt;&gt;10,"La cédula debe tener 10 dígitos",IF(F124="","Falta el tipo de plan",IF(G124="","Falta la fecha de inicio",IF(H124="","Falta la fecha de vencimiento",IF(O124&lt;=0,"El vencimiento debe ser posterior al inicio",IF(AND(F124&lt;&gt;"DIARIO",O124&lt;21),"Duración muy corta: revisar fechas",IF(O124&gt;400,"Duración mayor a 400 días: revisar fechas",IF(I124="","Falta la forma de pago",IF(L124="","Falta el monto cobrado","OK"))))))))))))</f>
        <v/>
      </c>
    </row>
    <row r="125" customFormat="false" ht="15" hidden="false" customHeight="false" outlineLevel="0" collapsed="false">
      <c r="A125" s="18"/>
      <c r="B125" s="19"/>
      <c r="C125" s="20"/>
      <c r="D125" s="20"/>
      <c r="E125" s="19"/>
      <c r="F125" s="18"/>
      <c r="G125" s="21"/>
      <c r="H125" s="21"/>
      <c r="I125" s="18"/>
      <c r="J125" s="22"/>
      <c r="K125" s="23"/>
      <c r="L125" s="23"/>
      <c r="M125" s="24"/>
      <c r="N125" s="19"/>
      <c r="O125" s="25" t="str">
        <f aca="false">IF(OR(G125="",H125=""),"",H125-G125)</f>
        <v/>
      </c>
      <c r="P125" s="26" t="str">
        <f aca="false">IF(COUNTA(A125:N125)=0,"",IF(B125="","Falta el nombre",IF(C125="","Falta la cédula",IF(LEN(C125)&lt;&gt;10,"La cédula debe tener 10 dígitos",IF(F125="","Falta el tipo de plan",IF(G125="","Falta la fecha de inicio",IF(H125="","Falta la fecha de vencimiento",IF(O125&lt;=0,"El vencimiento debe ser posterior al inicio",IF(AND(F125&lt;&gt;"DIARIO",O125&lt;21),"Duración muy corta: revisar fechas",IF(O125&gt;400,"Duración mayor a 400 días: revisar fechas",IF(I125="","Falta la forma de pago",IF(L125="","Falta el monto cobrado","OK"))))))))))))</f>
        <v/>
      </c>
    </row>
    <row r="126" customFormat="false" ht="15" hidden="false" customHeight="false" outlineLevel="0" collapsed="false">
      <c r="A126" s="18"/>
      <c r="B126" s="19"/>
      <c r="C126" s="20"/>
      <c r="D126" s="20"/>
      <c r="E126" s="19"/>
      <c r="F126" s="18"/>
      <c r="G126" s="21"/>
      <c r="H126" s="21"/>
      <c r="I126" s="18"/>
      <c r="J126" s="22"/>
      <c r="K126" s="23"/>
      <c r="L126" s="23"/>
      <c r="M126" s="24"/>
      <c r="N126" s="19"/>
      <c r="O126" s="25" t="str">
        <f aca="false">IF(OR(G126="",H126=""),"",H126-G126)</f>
        <v/>
      </c>
      <c r="P126" s="26" t="str">
        <f aca="false">IF(COUNTA(A126:N126)=0,"",IF(B126="","Falta el nombre",IF(C126="","Falta la cédula",IF(LEN(C126)&lt;&gt;10,"La cédula debe tener 10 dígitos",IF(F126="","Falta el tipo de plan",IF(G126="","Falta la fecha de inicio",IF(H126="","Falta la fecha de vencimiento",IF(O126&lt;=0,"El vencimiento debe ser posterior al inicio",IF(AND(F126&lt;&gt;"DIARIO",O126&lt;21),"Duración muy corta: revisar fechas",IF(O126&gt;400,"Duración mayor a 400 días: revisar fechas",IF(I126="","Falta la forma de pago",IF(L126="","Falta el monto cobrado","OK"))))))))))))</f>
        <v/>
      </c>
    </row>
    <row r="127" customFormat="false" ht="15" hidden="false" customHeight="false" outlineLevel="0" collapsed="false">
      <c r="A127" s="18"/>
      <c r="B127" s="19"/>
      <c r="C127" s="20"/>
      <c r="D127" s="20"/>
      <c r="E127" s="19"/>
      <c r="F127" s="18"/>
      <c r="G127" s="21"/>
      <c r="H127" s="21"/>
      <c r="I127" s="18"/>
      <c r="J127" s="22"/>
      <c r="K127" s="23"/>
      <c r="L127" s="23"/>
      <c r="M127" s="24"/>
      <c r="N127" s="19"/>
      <c r="O127" s="25" t="str">
        <f aca="false">IF(OR(G127="",H127=""),"",H127-G127)</f>
        <v/>
      </c>
      <c r="P127" s="26" t="str">
        <f aca="false">IF(COUNTA(A127:N127)=0,"",IF(B127="","Falta el nombre",IF(C127="","Falta la cédula",IF(LEN(C127)&lt;&gt;10,"La cédula debe tener 10 dígitos",IF(F127="","Falta el tipo de plan",IF(G127="","Falta la fecha de inicio",IF(H127="","Falta la fecha de vencimiento",IF(O127&lt;=0,"El vencimiento debe ser posterior al inicio",IF(AND(F127&lt;&gt;"DIARIO",O127&lt;21),"Duración muy corta: revisar fechas",IF(O127&gt;400,"Duración mayor a 400 días: revisar fechas",IF(I127="","Falta la forma de pago",IF(L127="","Falta el monto cobrado","OK"))))))))))))</f>
        <v/>
      </c>
    </row>
    <row r="128" customFormat="false" ht="15" hidden="false" customHeight="false" outlineLevel="0" collapsed="false">
      <c r="A128" s="18"/>
      <c r="B128" s="19"/>
      <c r="C128" s="20"/>
      <c r="D128" s="20"/>
      <c r="E128" s="19"/>
      <c r="F128" s="18"/>
      <c r="G128" s="21"/>
      <c r="H128" s="21"/>
      <c r="I128" s="18"/>
      <c r="J128" s="22"/>
      <c r="K128" s="23"/>
      <c r="L128" s="23"/>
      <c r="M128" s="24"/>
      <c r="N128" s="19"/>
      <c r="O128" s="25" t="str">
        <f aca="false">IF(OR(G128="",H128=""),"",H128-G128)</f>
        <v/>
      </c>
      <c r="P128" s="26" t="str">
        <f aca="false">IF(COUNTA(A128:N128)=0,"",IF(B128="","Falta el nombre",IF(C128="","Falta la cédula",IF(LEN(C128)&lt;&gt;10,"La cédula debe tener 10 dígitos",IF(F128="","Falta el tipo de plan",IF(G128="","Falta la fecha de inicio",IF(H128="","Falta la fecha de vencimiento",IF(O128&lt;=0,"El vencimiento debe ser posterior al inicio",IF(AND(F128&lt;&gt;"DIARIO",O128&lt;21),"Duración muy corta: revisar fechas",IF(O128&gt;400,"Duración mayor a 400 días: revisar fechas",IF(I128="","Falta la forma de pago",IF(L128="","Falta el monto cobrado","OK"))))))))))))</f>
        <v/>
      </c>
    </row>
    <row r="129" customFormat="false" ht="15" hidden="false" customHeight="false" outlineLevel="0" collapsed="false">
      <c r="A129" s="18"/>
      <c r="B129" s="19"/>
      <c r="C129" s="20"/>
      <c r="D129" s="20"/>
      <c r="E129" s="19"/>
      <c r="F129" s="18"/>
      <c r="G129" s="21"/>
      <c r="H129" s="21"/>
      <c r="I129" s="18"/>
      <c r="J129" s="22"/>
      <c r="K129" s="23"/>
      <c r="L129" s="23"/>
      <c r="M129" s="24"/>
      <c r="N129" s="19"/>
      <c r="O129" s="25" t="str">
        <f aca="false">IF(OR(G129="",H129=""),"",H129-G129)</f>
        <v/>
      </c>
      <c r="P129" s="26" t="str">
        <f aca="false">IF(COUNTA(A129:N129)=0,"",IF(B129="","Falta el nombre",IF(C129="","Falta la cédula",IF(LEN(C129)&lt;&gt;10,"La cédula debe tener 10 dígitos",IF(F129="","Falta el tipo de plan",IF(G129="","Falta la fecha de inicio",IF(H129="","Falta la fecha de vencimiento",IF(O129&lt;=0,"El vencimiento debe ser posterior al inicio",IF(AND(F129&lt;&gt;"DIARIO",O129&lt;21),"Duración muy corta: revisar fechas",IF(O129&gt;400,"Duración mayor a 400 días: revisar fechas",IF(I129="","Falta la forma de pago",IF(L129="","Falta el monto cobrado","OK"))))))))))))</f>
        <v/>
      </c>
    </row>
    <row r="130" customFormat="false" ht="15" hidden="false" customHeight="false" outlineLevel="0" collapsed="false">
      <c r="A130" s="18"/>
      <c r="B130" s="19"/>
      <c r="C130" s="20"/>
      <c r="D130" s="20"/>
      <c r="E130" s="19"/>
      <c r="F130" s="18"/>
      <c r="G130" s="21"/>
      <c r="H130" s="21"/>
      <c r="I130" s="18"/>
      <c r="J130" s="22"/>
      <c r="K130" s="23"/>
      <c r="L130" s="23"/>
      <c r="M130" s="24"/>
      <c r="N130" s="19"/>
      <c r="O130" s="25" t="str">
        <f aca="false">IF(OR(G130="",H130=""),"",H130-G130)</f>
        <v/>
      </c>
      <c r="P130" s="26" t="str">
        <f aca="false">IF(COUNTA(A130:N130)=0,"",IF(B130="","Falta el nombre",IF(C130="","Falta la cédula",IF(LEN(C130)&lt;&gt;10,"La cédula debe tener 10 dígitos",IF(F130="","Falta el tipo de plan",IF(G130="","Falta la fecha de inicio",IF(H130="","Falta la fecha de vencimiento",IF(O130&lt;=0,"El vencimiento debe ser posterior al inicio",IF(AND(F130&lt;&gt;"DIARIO",O130&lt;21),"Duración muy corta: revisar fechas",IF(O130&gt;400,"Duración mayor a 400 días: revisar fechas",IF(I130="","Falta la forma de pago",IF(L130="","Falta el monto cobrado","OK"))))))))))))</f>
        <v/>
      </c>
    </row>
    <row r="131" customFormat="false" ht="15" hidden="false" customHeight="false" outlineLevel="0" collapsed="false">
      <c r="A131" s="18"/>
      <c r="B131" s="19"/>
      <c r="C131" s="20"/>
      <c r="D131" s="20"/>
      <c r="E131" s="19"/>
      <c r="F131" s="18"/>
      <c r="G131" s="21"/>
      <c r="H131" s="21"/>
      <c r="I131" s="18"/>
      <c r="J131" s="22"/>
      <c r="K131" s="23"/>
      <c r="L131" s="23"/>
      <c r="M131" s="24"/>
      <c r="N131" s="19"/>
      <c r="O131" s="25" t="str">
        <f aca="false">IF(OR(G131="",H131=""),"",H131-G131)</f>
        <v/>
      </c>
      <c r="P131" s="26" t="str">
        <f aca="false">IF(COUNTA(A131:N131)=0,"",IF(B131="","Falta el nombre",IF(C131="","Falta la cédula",IF(LEN(C131)&lt;&gt;10,"La cédula debe tener 10 dígitos",IF(F131="","Falta el tipo de plan",IF(G131="","Falta la fecha de inicio",IF(H131="","Falta la fecha de vencimiento",IF(O131&lt;=0,"El vencimiento debe ser posterior al inicio",IF(AND(F131&lt;&gt;"DIARIO",O131&lt;21),"Duración muy corta: revisar fechas",IF(O131&gt;400,"Duración mayor a 400 días: revisar fechas",IF(I131="","Falta la forma de pago",IF(L131="","Falta el monto cobrado","OK"))))))))))))</f>
        <v/>
      </c>
    </row>
    <row r="132" customFormat="false" ht="15" hidden="false" customHeight="false" outlineLevel="0" collapsed="false">
      <c r="A132" s="18"/>
      <c r="B132" s="19"/>
      <c r="C132" s="20"/>
      <c r="D132" s="20"/>
      <c r="E132" s="19"/>
      <c r="F132" s="18"/>
      <c r="G132" s="21"/>
      <c r="H132" s="21"/>
      <c r="I132" s="18"/>
      <c r="J132" s="22"/>
      <c r="K132" s="23"/>
      <c r="L132" s="23"/>
      <c r="M132" s="24"/>
      <c r="N132" s="19"/>
      <c r="O132" s="25" t="str">
        <f aca="false">IF(OR(G132="",H132=""),"",H132-G132)</f>
        <v/>
      </c>
      <c r="P132" s="26" t="str">
        <f aca="false">IF(COUNTA(A132:N132)=0,"",IF(B132="","Falta el nombre",IF(C132="","Falta la cédula",IF(LEN(C132)&lt;&gt;10,"La cédula debe tener 10 dígitos",IF(F132="","Falta el tipo de plan",IF(G132="","Falta la fecha de inicio",IF(H132="","Falta la fecha de vencimiento",IF(O132&lt;=0,"El vencimiento debe ser posterior al inicio",IF(AND(F132&lt;&gt;"DIARIO",O132&lt;21),"Duración muy corta: revisar fechas",IF(O132&gt;400,"Duración mayor a 400 días: revisar fechas",IF(I132="","Falta la forma de pago",IF(L132="","Falta el monto cobrado","OK"))))))))))))</f>
        <v/>
      </c>
    </row>
    <row r="133" customFormat="false" ht="15" hidden="false" customHeight="false" outlineLevel="0" collapsed="false">
      <c r="A133" s="18"/>
      <c r="B133" s="19"/>
      <c r="C133" s="20"/>
      <c r="D133" s="20"/>
      <c r="E133" s="19"/>
      <c r="F133" s="18"/>
      <c r="G133" s="21"/>
      <c r="H133" s="21"/>
      <c r="I133" s="18"/>
      <c r="J133" s="22"/>
      <c r="K133" s="23"/>
      <c r="L133" s="23"/>
      <c r="M133" s="24"/>
      <c r="N133" s="19"/>
      <c r="O133" s="25" t="str">
        <f aca="false">IF(OR(G133="",H133=""),"",H133-G133)</f>
        <v/>
      </c>
      <c r="P133" s="26" t="str">
        <f aca="false">IF(COUNTA(A133:N133)=0,"",IF(B133="","Falta el nombre",IF(C133="","Falta la cédula",IF(LEN(C133)&lt;&gt;10,"La cédula debe tener 10 dígitos",IF(F133="","Falta el tipo de plan",IF(G133="","Falta la fecha de inicio",IF(H133="","Falta la fecha de vencimiento",IF(O133&lt;=0,"El vencimiento debe ser posterior al inicio",IF(AND(F133&lt;&gt;"DIARIO",O133&lt;21),"Duración muy corta: revisar fechas",IF(O133&gt;400,"Duración mayor a 400 días: revisar fechas",IF(I133="","Falta la forma de pago",IF(L133="","Falta el monto cobrado","OK"))))))))))))</f>
        <v/>
      </c>
    </row>
    <row r="134" customFormat="false" ht="15" hidden="false" customHeight="false" outlineLevel="0" collapsed="false">
      <c r="A134" s="18"/>
      <c r="B134" s="19"/>
      <c r="C134" s="20"/>
      <c r="D134" s="20"/>
      <c r="E134" s="19"/>
      <c r="F134" s="18"/>
      <c r="G134" s="21"/>
      <c r="H134" s="21"/>
      <c r="I134" s="18"/>
      <c r="J134" s="22"/>
      <c r="K134" s="23"/>
      <c r="L134" s="23"/>
      <c r="M134" s="24"/>
      <c r="N134" s="19"/>
      <c r="O134" s="25" t="str">
        <f aca="false">IF(OR(G134="",H134=""),"",H134-G134)</f>
        <v/>
      </c>
      <c r="P134" s="26" t="str">
        <f aca="false">IF(COUNTA(A134:N134)=0,"",IF(B134="","Falta el nombre",IF(C134="","Falta la cédula",IF(LEN(C134)&lt;&gt;10,"La cédula debe tener 10 dígitos",IF(F134="","Falta el tipo de plan",IF(G134="","Falta la fecha de inicio",IF(H134="","Falta la fecha de vencimiento",IF(O134&lt;=0,"El vencimiento debe ser posterior al inicio",IF(AND(F134&lt;&gt;"DIARIO",O134&lt;21),"Duración muy corta: revisar fechas",IF(O134&gt;400,"Duración mayor a 400 días: revisar fechas",IF(I134="","Falta la forma de pago",IF(L134="","Falta el monto cobrado","OK"))))))))))))</f>
        <v/>
      </c>
    </row>
    <row r="135" customFormat="false" ht="15" hidden="false" customHeight="false" outlineLevel="0" collapsed="false">
      <c r="A135" s="18"/>
      <c r="B135" s="19"/>
      <c r="C135" s="20"/>
      <c r="D135" s="20"/>
      <c r="E135" s="19"/>
      <c r="F135" s="18"/>
      <c r="G135" s="21"/>
      <c r="H135" s="21"/>
      <c r="I135" s="18"/>
      <c r="J135" s="22"/>
      <c r="K135" s="23"/>
      <c r="L135" s="23"/>
      <c r="M135" s="24"/>
      <c r="N135" s="19"/>
      <c r="O135" s="25" t="str">
        <f aca="false">IF(OR(G135="",H135=""),"",H135-G135)</f>
        <v/>
      </c>
      <c r="P135" s="26" t="str">
        <f aca="false">IF(COUNTA(A135:N135)=0,"",IF(B135="","Falta el nombre",IF(C135="","Falta la cédula",IF(LEN(C135)&lt;&gt;10,"La cédula debe tener 10 dígitos",IF(F135="","Falta el tipo de plan",IF(G135="","Falta la fecha de inicio",IF(H135="","Falta la fecha de vencimiento",IF(O135&lt;=0,"El vencimiento debe ser posterior al inicio",IF(AND(F135&lt;&gt;"DIARIO",O135&lt;21),"Duración muy corta: revisar fechas",IF(O135&gt;400,"Duración mayor a 400 días: revisar fechas",IF(I135="","Falta la forma de pago",IF(L135="","Falta el monto cobrado","OK"))))))))))))</f>
        <v/>
      </c>
    </row>
    <row r="136" customFormat="false" ht="15" hidden="false" customHeight="false" outlineLevel="0" collapsed="false">
      <c r="A136" s="18"/>
      <c r="B136" s="19"/>
      <c r="C136" s="20"/>
      <c r="D136" s="20"/>
      <c r="E136" s="19"/>
      <c r="F136" s="18"/>
      <c r="G136" s="21"/>
      <c r="H136" s="21"/>
      <c r="I136" s="18"/>
      <c r="J136" s="22"/>
      <c r="K136" s="23"/>
      <c r="L136" s="23"/>
      <c r="M136" s="24"/>
      <c r="N136" s="19"/>
      <c r="O136" s="25" t="str">
        <f aca="false">IF(OR(G136="",H136=""),"",H136-G136)</f>
        <v/>
      </c>
      <c r="P136" s="26" t="str">
        <f aca="false">IF(COUNTA(A136:N136)=0,"",IF(B136="","Falta el nombre",IF(C136="","Falta la cédula",IF(LEN(C136)&lt;&gt;10,"La cédula debe tener 10 dígitos",IF(F136="","Falta el tipo de plan",IF(G136="","Falta la fecha de inicio",IF(H136="","Falta la fecha de vencimiento",IF(O136&lt;=0,"El vencimiento debe ser posterior al inicio",IF(AND(F136&lt;&gt;"DIARIO",O136&lt;21),"Duración muy corta: revisar fechas",IF(O136&gt;400,"Duración mayor a 400 días: revisar fechas",IF(I136="","Falta la forma de pago",IF(L136="","Falta el monto cobrado","OK"))))))))))))</f>
        <v/>
      </c>
    </row>
    <row r="137" customFormat="false" ht="15" hidden="false" customHeight="false" outlineLevel="0" collapsed="false">
      <c r="A137" s="18"/>
      <c r="B137" s="19"/>
      <c r="C137" s="20"/>
      <c r="D137" s="20"/>
      <c r="E137" s="19"/>
      <c r="F137" s="18"/>
      <c r="G137" s="21"/>
      <c r="H137" s="21"/>
      <c r="I137" s="18"/>
      <c r="J137" s="22"/>
      <c r="K137" s="23"/>
      <c r="L137" s="23"/>
      <c r="M137" s="24"/>
      <c r="N137" s="19"/>
      <c r="O137" s="25" t="str">
        <f aca="false">IF(OR(G137="",H137=""),"",H137-G137)</f>
        <v/>
      </c>
      <c r="P137" s="26" t="str">
        <f aca="false">IF(COUNTA(A137:N137)=0,"",IF(B137="","Falta el nombre",IF(C137="","Falta la cédula",IF(LEN(C137)&lt;&gt;10,"La cédula debe tener 10 dígitos",IF(F137="","Falta el tipo de plan",IF(G137="","Falta la fecha de inicio",IF(H137="","Falta la fecha de vencimiento",IF(O137&lt;=0,"El vencimiento debe ser posterior al inicio",IF(AND(F137&lt;&gt;"DIARIO",O137&lt;21),"Duración muy corta: revisar fechas",IF(O137&gt;400,"Duración mayor a 400 días: revisar fechas",IF(I137="","Falta la forma de pago",IF(L137="","Falta el monto cobrado","OK"))))))))))))</f>
        <v/>
      </c>
    </row>
    <row r="138" customFormat="false" ht="15" hidden="false" customHeight="false" outlineLevel="0" collapsed="false">
      <c r="A138" s="18"/>
      <c r="B138" s="19"/>
      <c r="C138" s="20"/>
      <c r="D138" s="20"/>
      <c r="E138" s="19"/>
      <c r="F138" s="18"/>
      <c r="G138" s="21"/>
      <c r="H138" s="21"/>
      <c r="I138" s="18"/>
      <c r="J138" s="22"/>
      <c r="K138" s="23"/>
      <c r="L138" s="23"/>
      <c r="M138" s="24"/>
      <c r="N138" s="19"/>
      <c r="O138" s="25" t="str">
        <f aca="false">IF(OR(G138="",H138=""),"",H138-G138)</f>
        <v/>
      </c>
      <c r="P138" s="26" t="str">
        <f aca="false">IF(COUNTA(A138:N138)=0,"",IF(B138="","Falta el nombre",IF(C138="","Falta la cédula",IF(LEN(C138)&lt;&gt;10,"La cédula debe tener 10 dígitos",IF(F138="","Falta el tipo de plan",IF(G138="","Falta la fecha de inicio",IF(H138="","Falta la fecha de vencimiento",IF(O138&lt;=0,"El vencimiento debe ser posterior al inicio",IF(AND(F138&lt;&gt;"DIARIO",O138&lt;21),"Duración muy corta: revisar fechas",IF(O138&gt;400,"Duración mayor a 400 días: revisar fechas",IF(I138="","Falta la forma de pago",IF(L138="","Falta el monto cobrado","OK"))))))))))))</f>
        <v/>
      </c>
    </row>
    <row r="139" customFormat="false" ht="15" hidden="false" customHeight="false" outlineLevel="0" collapsed="false">
      <c r="A139" s="18"/>
      <c r="B139" s="19"/>
      <c r="C139" s="20"/>
      <c r="D139" s="20"/>
      <c r="E139" s="19"/>
      <c r="F139" s="18"/>
      <c r="G139" s="21"/>
      <c r="H139" s="21"/>
      <c r="I139" s="18"/>
      <c r="J139" s="22"/>
      <c r="K139" s="23"/>
      <c r="L139" s="23"/>
      <c r="M139" s="24"/>
      <c r="N139" s="19"/>
      <c r="O139" s="25" t="str">
        <f aca="false">IF(OR(G139="",H139=""),"",H139-G139)</f>
        <v/>
      </c>
      <c r="P139" s="26" t="str">
        <f aca="false">IF(COUNTA(A139:N139)=0,"",IF(B139="","Falta el nombre",IF(C139="","Falta la cédula",IF(LEN(C139)&lt;&gt;10,"La cédula debe tener 10 dígitos",IF(F139="","Falta el tipo de plan",IF(G139="","Falta la fecha de inicio",IF(H139="","Falta la fecha de vencimiento",IF(O139&lt;=0,"El vencimiento debe ser posterior al inicio",IF(AND(F139&lt;&gt;"DIARIO",O139&lt;21),"Duración muy corta: revisar fechas",IF(O139&gt;400,"Duración mayor a 400 días: revisar fechas",IF(I139="","Falta la forma de pago",IF(L139="","Falta el monto cobrado","OK"))))))))))))</f>
        <v/>
      </c>
    </row>
    <row r="140" customFormat="false" ht="15" hidden="false" customHeight="false" outlineLevel="0" collapsed="false">
      <c r="A140" s="18"/>
      <c r="B140" s="19"/>
      <c r="C140" s="20"/>
      <c r="D140" s="20"/>
      <c r="E140" s="19"/>
      <c r="F140" s="18"/>
      <c r="G140" s="21"/>
      <c r="H140" s="21"/>
      <c r="I140" s="18"/>
      <c r="J140" s="22"/>
      <c r="K140" s="23"/>
      <c r="L140" s="23"/>
      <c r="M140" s="24"/>
      <c r="N140" s="19"/>
      <c r="O140" s="25" t="str">
        <f aca="false">IF(OR(G140="",H140=""),"",H140-G140)</f>
        <v/>
      </c>
      <c r="P140" s="26" t="str">
        <f aca="false">IF(COUNTA(A140:N140)=0,"",IF(B140="","Falta el nombre",IF(C140="","Falta la cédula",IF(LEN(C140)&lt;&gt;10,"La cédula debe tener 10 dígitos",IF(F140="","Falta el tipo de plan",IF(G140="","Falta la fecha de inicio",IF(H140="","Falta la fecha de vencimiento",IF(O140&lt;=0,"El vencimiento debe ser posterior al inicio",IF(AND(F140&lt;&gt;"DIARIO",O140&lt;21),"Duración muy corta: revisar fechas",IF(O140&gt;400,"Duración mayor a 400 días: revisar fechas",IF(I140="","Falta la forma de pago",IF(L140="","Falta el monto cobrado","OK"))))))))))))</f>
        <v/>
      </c>
    </row>
    <row r="141" customFormat="false" ht="15" hidden="false" customHeight="false" outlineLevel="0" collapsed="false">
      <c r="A141" s="18"/>
      <c r="B141" s="19"/>
      <c r="C141" s="20"/>
      <c r="D141" s="20"/>
      <c r="E141" s="19"/>
      <c r="F141" s="18"/>
      <c r="G141" s="21"/>
      <c r="H141" s="21"/>
      <c r="I141" s="18"/>
      <c r="J141" s="22"/>
      <c r="K141" s="23"/>
      <c r="L141" s="23"/>
      <c r="M141" s="24"/>
      <c r="N141" s="19"/>
      <c r="O141" s="25" t="str">
        <f aca="false">IF(OR(G141="",H141=""),"",H141-G141)</f>
        <v/>
      </c>
      <c r="P141" s="26" t="str">
        <f aca="false">IF(COUNTA(A141:N141)=0,"",IF(B141="","Falta el nombre",IF(C141="","Falta la cédula",IF(LEN(C141)&lt;&gt;10,"La cédula debe tener 10 dígitos",IF(F141="","Falta el tipo de plan",IF(G141="","Falta la fecha de inicio",IF(H141="","Falta la fecha de vencimiento",IF(O141&lt;=0,"El vencimiento debe ser posterior al inicio",IF(AND(F141&lt;&gt;"DIARIO",O141&lt;21),"Duración muy corta: revisar fechas",IF(O141&gt;400,"Duración mayor a 400 días: revisar fechas",IF(I141="","Falta la forma de pago",IF(L141="","Falta el monto cobrado","OK"))))))))))))</f>
        <v/>
      </c>
    </row>
    <row r="142" customFormat="false" ht="15" hidden="false" customHeight="false" outlineLevel="0" collapsed="false">
      <c r="A142" s="18"/>
      <c r="B142" s="19"/>
      <c r="C142" s="20"/>
      <c r="D142" s="20"/>
      <c r="E142" s="19"/>
      <c r="F142" s="18"/>
      <c r="G142" s="21"/>
      <c r="H142" s="21"/>
      <c r="I142" s="18"/>
      <c r="J142" s="22"/>
      <c r="K142" s="23"/>
      <c r="L142" s="23"/>
      <c r="M142" s="24"/>
      <c r="N142" s="19"/>
      <c r="O142" s="25" t="str">
        <f aca="false">IF(OR(G142="",H142=""),"",H142-G142)</f>
        <v/>
      </c>
      <c r="P142" s="26" t="str">
        <f aca="false">IF(COUNTA(A142:N142)=0,"",IF(B142="","Falta el nombre",IF(C142="","Falta la cédula",IF(LEN(C142)&lt;&gt;10,"La cédula debe tener 10 dígitos",IF(F142="","Falta el tipo de plan",IF(G142="","Falta la fecha de inicio",IF(H142="","Falta la fecha de vencimiento",IF(O142&lt;=0,"El vencimiento debe ser posterior al inicio",IF(AND(F142&lt;&gt;"DIARIO",O142&lt;21),"Duración muy corta: revisar fechas",IF(O142&gt;400,"Duración mayor a 400 días: revisar fechas",IF(I142="","Falta la forma de pago",IF(L142="","Falta el monto cobrado","OK"))))))))))))</f>
        <v/>
      </c>
    </row>
    <row r="143" customFormat="false" ht="15" hidden="false" customHeight="false" outlineLevel="0" collapsed="false">
      <c r="A143" s="18"/>
      <c r="B143" s="19"/>
      <c r="C143" s="20"/>
      <c r="D143" s="20"/>
      <c r="E143" s="19"/>
      <c r="F143" s="18"/>
      <c r="G143" s="21"/>
      <c r="H143" s="21"/>
      <c r="I143" s="18"/>
      <c r="J143" s="22"/>
      <c r="K143" s="23"/>
      <c r="L143" s="23"/>
      <c r="M143" s="24"/>
      <c r="N143" s="19"/>
      <c r="O143" s="25" t="str">
        <f aca="false">IF(OR(G143="",H143=""),"",H143-G143)</f>
        <v/>
      </c>
      <c r="P143" s="26" t="str">
        <f aca="false">IF(COUNTA(A143:N143)=0,"",IF(B143="","Falta el nombre",IF(C143="","Falta la cédula",IF(LEN(C143)&lt;&gt;10,"La cédula debe tener 10 dígitos",IF(F143="","Falta el tipo de plan",IF(G143="","Falta la fecha de inicio",IF(H143="","Falta la fecha de vencimiento",IF(O143&lt;=0,"El vencimiento debe ser posterior al inicio",IF(AND(F143&lt;&gt;"DIARIO",O143&lt;21),"Duración muy corta: revisar fechas",IF(O143&gt;400,"Duración mayor a 400 días: revisar fechas",IF(I143="","Falta la forma de pago",IF(L143="","Falta el monto cobrado","OK"))))))))))))</f>
        <v/>
      </c>
    </row>
    <row r="144" customFormat="false" ht="15" hidden="false" customHeight="false" outlineLevel="0" collapsed="false">
      <c r="A144" s="18"/>
      <c r="B144" s="19"/>
      <c r="C144" s="20"/>
      <c r="D144" s="20"/>
      <c r="E144" s="19"/>
      <c r="F144" s="18"/>
      <c r="G144" s="21"/>
      <c r="H144" s="21"/>
      <c r="I144" s="18"/>
      <c r="J144" s="22"/>
      <c r="K144" s="23"/>
      <c r="L144" s="23"/>
      <c r="M144" s="24"/>
      <c r="N144" s="19"/>
      <c r="O144" s="25" t="str">
        <f aca="false">IF(OR(G144="",H144=""),"",H144-G144)</f>
        <v/>
      </c>
      <c r="P144" s="26" t="str">
        <f aca="false">IF(COUNTA(A144:N144)=0,"",IF(B144="","Falta el nombre",IF(C144="","Falta la cédula",IF(LEN(C144)&lt;&gt;10,"La cédula debe tener 10 dígitos",IF(F144="","Falta el tipo de plan",IF(G144="","Falta la fecha de inicio",IF(H144="","Falta la fecha de vencimiento",IF(O144&lt;=0,"El vencimiento debe ser posterior al inicio",IF(AND(F144&lt;&gt;"DIARIO",O144&lt;21),"Duración muy corta: revisar fechas",IF(O144&gt;400,"Duración mayor a 400 días: revisar fechas",IF(I144="","Falta la forma de pago",IF(L144="","Falta el monto cobrado","OK"))))))))))))</f>
        <v/>
      </c>
    </row>
    <row r="145" customFormat="false" ht="15" hidden="false" customHeight="false" outlineLevel="0" collapsed="false">
      <c r="A145" s="18"/>
      <c r="B145" s="19"/>
      <c r="C145" s="20"/>
      <c r="D145" s="20"/>
      <c r="E145" s="19"/>
      <c r="F145" s="18"/>
      <c r="G145" s="21"/>
      <c r="H145" s="21"/>
      <c r="I145" s="18"/>
      <c r="J145" s="22"/>
      <c r="K145" s="23"/>
      <c r="L145" s="23"/>
      <c r="M145" s="24"/>
      <c r="N145" s="19"/>
      <c r="O145" s="25" t="str">
        <f aca="false">IF(OR(G145="",H145=""),"",H145-G145)</f>
        <v/>
      </c>
      <c r="P145" s="26" t="str">
        <f aca="false">IF(COUNTA(A145:N145)=0,"",IF(B145="","Falta el nombre",IF(C145="","Falta la cédula",IF(LEN(C145)&lt;&gt;10,"La cédula debe tener 10 dígitos",IF(F145="","Falta el tipo de plan",IF(G145="","Falta la fecha de inicio",IF(H145="","Falta la fecha de vencimiento",IF(O145&lt;=0,"El vencimiento debe ser posterior al inicio",IF(AND(F145&lt;&gt;"DIARIO",O145&lt;21),"Duración muy corta: revisar fechas",IF(O145&gt;400,"Duración mayor a 400 días: revisar fechas",IF(I145="","Falta la forma de pago",IF(L145="","Falta el monto cobrado","OK"))))))))))))</f>
        <v/>
      </c>
    </row>
    <row r="146" customFormat="false" ht="15" hidden="false" customHeight="false" outlineLevel="0" collapsed="false">
      <c r="A146" s="18"/>
      <c r="B146" s="19"/>
      <c r="C146" s="20"/>
      <c r="D146" s="20"/>
      <c r="E146" s="19"/>
      <c r="F146" s="18"/>
      <c r="G146" s="21"/>
      <c r="H146" s="21"/>
      <c r="I146" s="18"/>
      <c r="J146" s="22"/>
      <c r="K146" s="23"/>
      <c r="L146" s="23"/>
      <c r="M146" s="24"/>
      <c r="N146" s="19"/>
      <c r="O146" s="25" t="str">
        <f aca="false">IF(OR(G146="",H146=""),"",H146-G146)</f>
        <v/>
      </c>
      <c r="P146" s="26" t="str">
        <f aca="false">IF(COUNTA(A146:N146)=0,"",IF(B146="","Falta el nombre",IF(C146="","Falta la cédula",IF(LEN(C146)&lt;&gt;10,"La cédula debe tener 10 dígitos",IF(F146="","Falta el tipo de plan",IF(G146="","Falta la fecha de inicio",IF(H146="","Falta la fecha de vencimiento",IF(O146&lt;=0,"El vencimiento debe ser posterior al inicio",IF(AND(F146&lt;&gt;"DIARIO",O146&lt;21),"Duración muy corta: revisar fechas",IF(O146&gt;400,"Duración mayor a 400 días: revisar fechas",IF(I146="","Falta la forma de pago",IF(L146="","Falta el monto cobrado","OK"))))))))))))</f>
        <v/>
      </c>
    </row>
    <row r="147" customFormat="false" ht="15" hidden="false" customHeight="false" outlineLevel="0" collapsed="false">
      <c r="A147" s="18"/>
      <c r="B147" s="19"/>
      <c r="C147" s="20"/>
      <c r="D147" s="20"/>
      <c r="E147" s="19"/>
      <c r="F147" s="18"/>
      <c r="G147" s="21"/>
      <c r="H147" s="21"/>
      <c r="I147" s="18"/>
      <c r="J147" s="22"/>
      <c r="K147" s="23"/>
      <c r="L147" s="23"/>
      <c r="M147" s="24"/>
      <c r="N147" s="19"/>
      <c r="O147" s="25" t="str">
        <f aca="false">IF(OR(G147="",H147=""),"",H147-G147)</f>
        <v/>
      </c>
      <c r="P147" s="26" t="str">
        <f aca="false">IF(COUNTA(A147:N147)=0,"",IF(B147="","Falta el nombre",IF(C147="","Falta la cédula",IF(LEN(C147)&lt;&gt;10,"La cédula debe tener 10 dígitos",IF(F147="","Falta el tipo de plan",IF(G147="","Falta la fecha de inicio",IF(H147="","Falta la fecha de vencimiento",IF(O147&lt;=0,"El vencimiento debe ser posterior al inicio",IF(AND(F147&lt;&gt;"DIARIO",O147&lt;21),"Duración muy corta: revisar fechas",IF(O147&gt;400,"Duración mayor a 400 días: revisar fechas",IF(I147="","Falta la forma de pago",IF(L147="","Falta el monto cobrado","OK"))))))))))))</f>
        <v/>
      </c>
    </row>
    <row r="148" customFormat="false" ht="15" hidden="false" customHeight="false" outlineLevel="0" collapsed="false">
      <c r="A148" s="18"/>
      <c r="B148" s="19"/>
      <c r="C148" s="20"/>
      <c r="D148" s="20"/>
      <c r="E148" s="19"/>
      <c r="F148" s="18"/>
      <c r="G148" s="21"/>
      <c r="H148" s="21"/>
      <c r="I148" s="18"/>
      <c r="J148" s="22"/>
      <c r="K148" s="23"/>
      <c r="L148" s="23"/>
      <c r="M148" s="24"/>
      <c r="N148" s="19"/>
      <c r="O148" s="25" t="str">
        <f aca="false">IF(OR(G148="",H148=""),"",H148-G148)</f>
        <v/>
      </c>
      <c r="P148" s="26" t="str">
        <f aca="false">IF(COUNTA(A148:N148)=0,"",IF(B148="","Falta el nombre",IF(C148="","Falta la cédula",IF(LEN(C148)&lt;&gt;10,"La cédula debe tener 10 dígitos",IF(F148="","Falta el tipo de plan",IF(G148="","Falta la fecha de inicio",IF(H148="","Falta la fecha de vencimiento",IF(O148&lt;=0,"El vencimiento debe ser posterior al inicio",IF(AND(F148&lt;&gt;"DIARIO",O148&lt;21),"Duración muy corta: revisar fechas",IF(O148&gt;400,"Duración mayor a 400 días: revisar fechas",IF(I148="","Falta la forma de pago",IF(L148="","Falta el monto cobrado","OK"))))))))))))</f>
        <v/>
      </c>
    </row>
    <row r="149" customFormat="false" ht="15" hidden="false" customHeight="false" outlineLevel="0" collapsed="false">
      <c r="A149" s="18"/>
      <c r="B149" s="19"/>
      <c r="C149" s="20"/>
      <c r="D149" s="20"/>
      <c r="E149" s="19"/>
      <c r="F149" s="18"/>
      <c r="G149" s="21"/>
      <c r="H149" s="21"/>
      <c r="I149" s="18"/>
      <c r="J149" s="22"/>
      <c r="K149" s="23"/>
      <c r="L149" s="23"/>
      <c r="M149" s="24"/>
      <c r="N149" s="19"/>
      <c r="O149" s="25" t="str">
        <f aca="false">IF(OR(G149="",H149=""),"",H149-G149)</f>
        <v/>
      </c>
      <c r="P149" s="26" t="str">
        <f aca="false">IF(COUNTA(A149:N149)=0,"",IF(B149="","Falta el nombre",IF(C149="","Falta la cédula",IF(LEN(C149)&lt;&gt;10,"La cédula debe tener 10 dígitos",IF(F149="","Falta el tipo de plan",IF(G149="","Falta la fecha de inicio",IF(H149="","Falta la fecha de vencimiento",IF(O149&lt;=0,"El vencimiento debe ser posterior al inicio",IF(AND(F149&lt;&gt;"DIARIO",O149&lt;21),"Duración muy corta: revisar fechas",IF(O149&gt;400,"Duración mayor a 400 días: revisar fechas",IF(I149="","Falta la forma de pago",IF(L149="","Falta el monto cobrado","OK"))))))))))))</f>
        <v/>
      </c>
    </row>
    <row r="150" customFormat="false" ht="15" hidden="false" customHeight="false" outlineLevel="0" collapsed="false">
      <c r="A150" s="18"/>
      <c r="B150" s="19"/>
      <c r="C150" s="20"/>
      <c r="D150" s="20"/>
      <c r="E150" s="19"/>
      <c r="F150" s="18"/>
      <c r="G150" s="21"/>
      <c r="H150" s="21"/>
      <c r="I150" s="18"/>
      <c r="J150" s="22"/>
      <c r="K150" s="23"/>
      <c r="L150" s="23"/>
      <c r="M150" s="24"/>
      <c r="N150" s="19"/>
      <c r="O150" s="25" t="str">
        <f aca="false">IF(OR(G150="",H150=""),"",H150-G150)</f>
        <v/>
      </c>
      <c r="P150" s="26" t="str">
        <f aca="false">IF(COUNTA(A150:N150)=0,"",IF(B150="","Falta el nombre",IF(C150="","Falta la cédula",IF(LEN(C150)&lt;&gt;10,"La cédula debe tener 10 dígitos",IF(F150="","Falta el tipo de plan",IF(G150="","Falta la fecha de inicio",IF(H150="","Falta la fecha de vencimiento",IF(O150&lt;=0,"El vencimiento debe ser posterior al inicio",IF(AND(F150&lt;&gt;"DIARIO",O150&lt;21),"Duración muy corta: revisar fechas",IF(O150&gt;400,"Duración mayor a 400 días: revisar fechas",IF(I150="","Falta la forma de pago",IF(L150="","Falta el monto cobrado","OK"))))))))))))</f>
        <v/>
      </c>
    </row>
    <row r="151" customFormat="false" ht="15" hidden="false" customHeight="false" outlineLevel="0" collapsed="false">
      <c r="A151" s="18"/>
      <c r="B151" s="19"/>
      <c r="C151" s="20"/>
      <c r="D151" s="20"/>
      <c r="E151" s="19"/>
      <c r="F151" s="18"/>
      <c r="G151" s="21"/>
      <c r="H151" s="21"/>
      <c r="I151" s="18"/>
      <c r="J151" s="22"/>
      <c r="K151" s="23"/>
      <c r="L151" s="23"/>
      <c r="M151" s="24"/>
      <c r="N151" s="19"/>
      <c r="O151" s="25" t="str">
        <f aca="false">IF(OR(G151="",H151=""),"",H151-G151)</f>
        <v/>
      </c>
      <c r="P151" s="26" t="str">
        <f aca="false">IF(COUNTA(A151:N151)=0,"",IF(B151="","Falta el nombre",IF(C151="","Falta la cédula",IF(LEN(C151)&lt;&gt;10,"La cédula debe tener 10 dígitos",IF(F151="","Falta el tipo de plan",IF(G151="","Falta la fecha de inicio",IF(H151="","Falta la fecha de vencimiento",IF(O151&lt;=0,"El vencimiento debe ser posterior al inicio",IF(AND(F151&lt;&gt;"DIARIO",O151&lt;21),"Duración muy corta: revisar fechas",IF(O151&gt;400,"Duración mayor a 400 días: revisar fechas",IF(I151="","Falta la forma de pago",IF(L151="","Falta el monto cobrado","OK"))))))))))))</f>
        <v/>
      </c>
    </row>
    <row r="152" customFormat="false" ht="15" hidden="false" customHeight="false" outlineLevel="0" collapsed="false">
      <c r="A152" s="18"/>
      <c r="B152" s="19"/>
      <c r="C152" s="20"/>
      <c r="D152" s="20"/>
      <c r="E152" s="19"/>
      <c r="F152" s="18"/>
      <c r="G152" s="21"/>
      <c r="H152" s="21"/>
      <c r="I152" s="18"/>
      <c r="J152" s="22"/>
      <c r="K152" s="23"/>
      <c r="L152" s="23"/>
      <c r="M152" s="24"/>
      <c r="N152" s="19"/>
      <c r="O152" s="25" t="str">
        <f aca="false">IF(OR(G152="",H152=""),"",H152-G152)</f>
        <v/>
      </c>
      <c r="P152" s="26" t="str">
        <f aca="false">IF(COUNTA(A152:N152)=0,"",IF(B152="","Falta el nombre",IF(C152="","Falta la cédula",IF(LEN(C152)&lt;&gt;10,"La cédula debe tener 10 dígitos",IF(F152="","Falta el tipo de plan",IF(G152="","Falta la fecha de inicio",IF(H152="","Falta la fecha de vencimiento",IF(O152&lt;=0,"El vencimiento debe ser posterior al inicio",IF(AND(F152&lt;&gt;"DIARIO",O152&lt;21),"Duración muy corta: revisar fechas",IF(O152&gt;400,"Duración mayor a 400 días: revisar fechas",IF(I152="","Falta la forma de pago",IF(L152="","Falta el monto cobrado","OK"))))))))))))</f>
        <v/>
      </c>
    </row>
    <row r="153" customFormat="false" ht="15" hidden="false" customHeight="false" outlineLevel="0" collapsed="false">
      <c r="A153" s="18"/>
      <c r="B153" s="19"/>
      <c r="C153" s="20"/>
      <c r="D153" s="20"/>
      <c r="E153" s="19"/>
      <c r="F153" s="18"/>
      <c r="G153" s="21"/>
      <c r="H153" s="21"/>
      <c r="I153" s="18"/>
      <c r="J153" s="22"/>
      <c r="K153" s="23"/>
      <c r="L153" s="23"/>
      <c r="M153" s="24"/>
      <c r="N153" s="19"/>
      <c r="O153" s="25" t="str">
        <f aca="false">IF(OR(G153="",H153=""),"",H153-G153)</f>
        <v/>
      </c>
      <c r="P153" s="26" t="str">
        <f aca="false">IF(COUNTA(A153:N153)=0,"",IF(B153="","Falta el nombre",IF(C153="","Falta la cédula",IF(LEN(C153)&lt;&gt;10,"La cédula debe tener 10 dígitos",IF(F153="","Falta el tipo de plan",IF(G153="","Falta la fecha de inicio",IF(H153="","Falta la fecha de vencimiento",IF(O153&lt;=0,"El vencimiento debe ser posterior al inicio",IF(AND(F153&lt;&gt;"DIARIO",O153&lt;21),"Duración muy corta: revisar fechas",IF(O153&gt;400,"Duración mayor a 400 días: revisar fechas",IF(I153="","Falta la forma de pago",IF(L153="","Falta el monto cobrado","OK"))))))))))))</f>
        <v/>
      </c>
    </row>
    <row r="154" customFormat="false" ht="15" hidden="false" customHeight="false" outlineLevel="0" collapsed="false">
      <c r="A154" s="18"/>
      <c r="B154" s="19"/>
      <c r="C154" s="20"/>
      <c r="D154" s="20"/>
      <c r="E154" s="19"/>
      <c r="F154" s="18"/>
      <c r="G154" s="21"/>
      <c r="H154" s="21"/>
      <c r="I154" s="18"/>
      <c r="J154" s="22"/>
      <c r="K154" s="23"/>
      <c r="L154" s="23"/>
      <c r="M154" s="24"/>
      <c r="N154" s="19"/>
      <c r="O154" s="25" t="str">
        <f aca="false">IF(OR(G154="",H154=""),"",H154-G154)</f>
        <v/>
      </c>
      <c r="P154" s="26" t="str">
        <f aca="false">IF(COUNTA(A154:N154)=0,"",IF(B154="","Falta el nombre",IF(C154="","Falta la cédula",IF(LEN(C154)&lt;&gt;10,"La cédula debe tener 10 dígitos",IF(F154="","Falta el tipo de plan",IF(G154="","Falta la fecha de inicio",IF(H154="","Falta la fecha de vencimiento",IF(O154&lt;=0,"El vencimiento debe ser posterior al inicio",IF(AND(F154&lt;&gt;"DIARIO",O154&lt;21),"Duración muy corta: revisar fechas",IF(O154&gt;400,"Duración mayor a 400 días: revisar fechas",IF(I154="","Falta la forma de pago",IF(L154="","Falta el monto cobrado","OK"))))))))))))</f>
        <v/>
      </c>
    </row>
    <row r="155" customFormat="false" ht="15" hidden="false" customHeight="false" outlineLevel="0" collapsed="false">
      <c r="A155" s="18"/>
      <c r="B155" s="19"/>
      <c r="C155" s="20"/>
      <c r="D155" s="20"/>
      <c r="E155" s="19"/>
      <c r="F155" s="18"/>
      <c r="G155" s="21"/>
      <c r="H155" s="21"/>
      <c r="I155" s="18"/>
      <c r="J155" s="22"/>
      <c r="K155" s="23"/>
      <c r="L155" s="23"/>
      <c r="M155" s="24"/>
      <c r="N155" s="19"/>
      <c r="O155" s="25" t="str">
        <f aca="false">IF(OR(G155="",H155=""),"",H155-G155)</f>
        <v/>
      </c>
      <c r="P155" s="26" t="str">
        <f aca="false">IF(COUNTA(A155:N155)=0,"",IF(B155="","Falta el nombre",IF(C155="","Falta la cédula",IF(LEN(C155)&lt;&gt;10,"La cédula debe tener 10 dígitos",IF(F155="","Falta el tipo de plan",IF(G155="","Falta la fecha de inicio",IF(H155="","Falta la fecha de vencimiento",IF(O155&lt;=0,"El vencimiento debe ser posterior al inicio",IF(AND(F155&lt;&gt;"DIARIO",O155&lt;21),"Duración muy corta: revisar fechas",IF(O155&gt;400,"Duración mayor a 400 días: revisar fechas",IF(I155="","Falta la forma de pago",IF(L155="","Falta el monto cobrado","OK"))))))))))))</f>
        <v/>
      </c>
    </row>
    <row r="156" customFormat="false" ht="15" hidden="false" customHeight="false" outlineLevel="0" collapsed="false">
      <c r="A156" s="18"/>
      <c r="B156" s="19"/>
      <c r="C156" s="20"/>
      <c r="D156" s="20"/>
      <c r="E156" s="19"/>
      <c r="F156" s="18"/>
      <c r="G156" s="21"/>
      <c r="H156" s="21"/>
      <c r="I156" s="18"/>
      <c r="J156" s="22"/>
      <c r="K156" s="23"/>
      <c r="L156" s="23"/>
      <c r="M156" s="24"/>
      <c r="N156" s="19"/>
      <c r="O156" s="25" t="str">
        <f aca="false">IF(OR(G156="",H156=""),"",H156-G156)</f>
        <v/>
      </c>
      <c r="P156" s="26" t="str">
        <f aca="false">IF(COUNTA(A156:N156)=0,"",IF(B156="","Falta el nombre",IF(C156="","Falta la cédula",IF(LEN(C156)&lt;&gt;10,"La cédula debe tener 10 dígitos",IF(F156="","Falta el tipo de plan",IF(G156="","Falta la fecha de inicio",IF(H156="","Falta la fecha de vencimiento",IF(O156&lt;=0,"El vencimiento debe ser posterior al inicio",IF(AND(F156&lt;&gt;"DIARIO",O156&lt;21),"Duración muy corta: revisar fechas",IF(O156&gt;400,"Duración mayor a 400 días: revisar fechas",IF(I156="","Falta la forma de pago",IF(L156="","Falta el monto cobrado","OK"))))))))))))</f>
        <v/>
      </c>
    </row>
    <row r="157" customFormat="false" ht="15" hidden="false" customHeight="false" outlineLevel="0" collapsed="false">
      <c r="A157" s="18"/>
      <c r="B157" s="19"/>
      <c r="C157" s="20"/>
      <c r="D157" s="20"/>
      <c r="E157" s="19"/>
      <c r="F157" s="18"/>
      <c r="G157" s="21"/>
      <c r="H157" s="21"/>
      <c r="I157" s="18"/>
      <c r="J157" s="22"/>
      <c r="K157" s="23"/>
      <c r="L157" s="23"/>
      <c r="M157" s="24"/>
      <c r="N157" s="19"/>
      <c r="O157" s="25" t="str">
        <f aca="false">IF(OR(G157="",H157=""),"",H157-G157)</f>
        <v/>
      </c>
      <c r="P157" s="26" t="str">
        <f aca="false">IF(COUNTA(A157:N157)=0,"",IF(B157="","Falta el nombre",IF(C157="","Falta la cédula",IF(LEN(C157)&lt;&gt;10,"La cédula debe tener 10 dígitos",IF(F157="","Falta el tipo de plan",IF(G157="","Falta la fecha de inicio",IF(H157="","Falta la fecha de vencimiento",IF(O157&lt;=0,"El vencimiento debe ser posterior al inicio",IF(AND(F157&lt;&gt;"DIARIO",O157&lt;21),"Duración muy corta: revisar fechas",IF(O157&gt;400,"Duración mayor a 400 días: revisar fechas",IF(I157="","Falta la forma de pago",IF(L157="","Falta el monto cobrado","OK"))))))))))))</f>
        <v/>
      </c>
    </row>
    <row r="158" customFormat="false" ht="15" hidden="false" customHeight="false" outlineLevel="0" collapsed="false">
      <c r="A158" s="18"/>
      <c r="B158" s="19"/>
      <c r="C158" s="20"/>
      <c r="D158" s="20"/>
      <c r="E158" s="19"/>
      <c r="F158" s="18"/>
      <c r="G158" s="21"/>
      <c r="H158" s="21"/>
      <c r="I158" s="18"/>
      <c r="J158" s="22"/>
      <c r="K158" s="23"/>
      <c r="L158" s="23"/>
      <c r="M158" s="24"/>
      <c r="N158" s="19"/>
      <c r="O158" s="25" t="str">
        <f aca="false">IF(OR(G158="",H158=""),"",H158-G158)</f>
        <v/>
      </c>
      <c r="P158" s="26" t="str">
        <f aca="false">IF(COUNTA(A158:N158)=0,"",IF(B158="","Falta el nombre",IF(C158="","Falta la cédula",IF(LEN(C158)&lt;&gt;10,"La cédula debe tener 10 dígitos",IF(F158="","Falta el tipo de plan",IF(G158="","Falta la fecha de inicio",IF(H158="","Falta la fecha de vencimiento",IF(O158&lt;=0,"El vencimiento debe ser posterior al inicio",IF(AND(F158&lt;&gt;"DIARIO",O158&lt;21),"Duración muy corta: revisar fechas",IF(O158&gt;400,"Duración mayor a 400 días: revisar fechas",IF(I158="","Falta la forma de pago",IF(L158="","Falta el monto cobrado","OK"))))))))))))</f>
        <v/>
      </c>
    </row>
    <row r="159" customFormat="false" ht="15" hidden="false" customHeight="false" outlineLevel="0" collapsed="false">
      <c r="A159" s="18"/>
      <c r="B159" s="19"/>
      <c r="C159" s="20"/>
      <c r="D159" s="20"/>
      <c r="E159" s="19"/>
      <c r="F159" s="18"/>
      <c r="G159" s="21"/>
      <c r="H159" s="21"/>
      <c r="I159" s="18"/>
      <c r="J159" s="22"/>
      <c r="K159" s="23"/>
      <c r="L159" s="23"/>
      <c r="M159" s="24"/>
      <c r="N159" s="19"/>
      <c r="O159" s="25" t="str">
        <f aca="false">IF(OR(G159="",H159=""),"",H159-G159)</f>
        <v/>
      </c>
      <c r="P159" s="26" t="str">
        <f aca="false">IF(COUNTA(A159:N159)=0,"",IF(B159="","Falta el nombre",IF(C159="","Falta la cédula",IF(LEN(C159)&lt;&gt;10,"La cédula debe tener 10 dígitos",IF(F159="","Falta el tipo de plan",IF(G159="","Falta la fecha de inicio",IF(H159="","Falta la fecha de vencimiento",IF(O159&lt;=0,"El vencimiento debe ser posterior al inicio",IF(AND(F159&lt;&gt;"DIARIO",O159&lt;21),"Duración muy corta: revisar fechas",IF(O159&gt;400,"Duración mayor a 400 días: revisar fechas",IF(I159="","Falta la forma de pago",IF(L159="","Falta el monto cobrado","OK"))))))))))))</f>
        <v/>
      </c>
    </row>
    <row r="160" customFormat="false" ht="15" hidden="false" customHeight="false" outlineLevel="0" collapsed="false">
      <c r="A160" s="18"/>
      <c r="B160" s="19"/>
      <c r="C160" s="20"/>
      <c r="D160" s="20"/>
      <c r="E160" s="19"/>
      <c r="F160" s="18"/>
      <c r="G160" s="21"/>
      <c r="H160" s="21"/>
      <c r="I160" s="18"/>
      <c r="J160" s="22"/>
      <c r="K160" s="23"/>
      <c r="L160" s="23"/>
      <c r="M160" s="24"/>
      <c r="N160" s="19"/>
      <c r="O160" s="25" t="str">
        <f aca="false">IF(OR(G160="",H160=""),"",H160-G160)</f>
        <v/>
      </c>
      <c r="P160" s="26" t="str">
        <f aca="false">IF(COUNTA(A160:N160)=0,"",IF(B160="","Falta el nombre",IF(C160="","Falta la cédula",IF(LEN(C160)&lt;&gt;10,"La cédula debe tener 10 dígitos",IF(F160="","Falta el tipo de plan",IF(G160="","Falta la fecha de inicio",IF(H160="","Falta la fecha de vencimiento",IF(O160&lt;=0,"El vencimiento debe ser posterior al inicio",IF(AND(F160&lt;&gt;"DIARIO",O160&lt;21),"Duración muy corta: revisar fechas",IF(O160&gt;400,"Duración mayor a 400 días: revisar fechas",IF(I160="","Falta la forma de pago",IF(L160="","Falta el monto cobrado","OK"))))))))))))</f>
        <v/>
      </c>
    </row>
    <row r="161" customFormat="false" ht="15" hidden="false" customHeight="false" outlineLevel="0" collapsed="false">
      <c r="A161" s="18"/>
      <c r="B161" s="19"/>
      <c r="C161" s="20"/>
      <c r="D161" s="20"/>
      <c r="E161" s="19"/>
      <c r="F161" s="18"/>
      <c r="G161" s="21"/>
      <c r="H161" s="21"/>
      <c r="I161" s="18"/>
      <c r="J161" s="22"/>
      <c r="K161" s="23"/>
      <c r="L161" s="23"/>
      <c r="M161" s="24"/>
      <c r="N161" s="19"/>
      <c r="O161" s="25" t="str">
        <f aca="false">IF(OR(G161="",H161=""),"",H161-G161)</f>
        <v/>
      </c>
      <c r="P161" s="26" t="str">
        <f aca="false">IF(COUNTA(A161:N161)=0,"",IF(B161="","Falta el nombre",IF(C161="","Falta la cédula",IF(LEN(C161)&lt;&gt;10,"La cédula debe tener 10 dígitos",IF(F161="","Falta el tipo de plan",IF(G161="","Falta la fecha de inicio",IF(H161="","Falta la fecha de vencimiento",IF(O161&lt;=0,"El vencimiento debe ser posterior al inicio",IF(AND(F161&lt;&gt;"DIARIO",O161&lt;21),"Duración muy corta: revisar fechas",IF(O161&gt;400,"Duración mayor a 400 días: revisar fechas",IF(I161="","Falta la forma de pago",IF(L161="","Falta el monto cobrado","OK"))))))))))))</f>
        <v/>
      </c>
    </row>
    <row r="162" customFormat="false" ht="15" hidden="false" customHeight="false" outlineLevel="0" collapsed="false">
      <c r="A162" s="18"/>
      <c r="B162" s="19"/>
      <c r="C162" s="20"/>
      <c r="D162" s="20"/>
      <c r="E162" s="19"/>
      <c r="F162" s="18"/>
      <c r="G162" s="21"/>
      <c r="H162" s="21"/>
      <c r="I162" s="18"/>
      <c r="J162" s="22"/>
      <c r="K162" s="23"/>
      <c r="L162" s="23"/>
      <c r="M162" s="24"/>
      <c r="N162" s="19"/>
      <c r="O162" s="25" t="str">
        <f aca="false">IF(OR(G162="",H162=""),"",H162-G162)</f>
        <v/>
      </c>
      <c r="P162" s="26" t="str">
        <f aca="false">IF(COUNTA(A162:N162)=0,"",IF(B162="","Falta el nombre",IF(C162="","Falta la cédula",IF(LEN(C162)&lt;&gt;10,"La cédula debe tener 10 dígitos",IF(F162="","Falta el tipo de plan",IF(G162="","Falta la fecha de inicio",IF(H162="","Falta la fecha de vencimiento",IF(O162&lt;=0,"El vencimiento debe ser posterior al inicio",IF(AND(F162&lt;&gt;"DIARIO",O162&lt;21),"Duración muy corta: revisar fechas",IF(O162&gt;400,"Duración mayor a 400 días: revisar fechas",IF(I162="","Falta la forma de pago",IF(L162="","Falta el monto cobrado","OK"))))))))))))</f>
        <v/>
      </c>
    </row>
    <row r="163" customFormat="false" ht="15" hidden="false" customHeight="false" outlineLevel="0" collapsed="false">
      <c r="A163" s="18"/>
      <c r="B163" s="19"/>
      <c r="C163" s="20"/>
      <c r="D163" s="20"/>
      <c r="E163" s="19"/>
      <c r="F163" s="18"/>
      <c r="G163" s="21"/>
      <c r="H163" s="21"/>
      <c r="I163" s="18"/>
      <c r="J163" s="22"/>
      <c r="K163" s="23"/>
      <c r="L163" s="23"/>
      <c r="M163" s="24"/>
      <c r="N163" s="19"/>
      <c r="O163" s="25" t="str">
        <f aca="false">IF(OR(G163="",H163=""),"",H163-G163)</f>
        <v/>
      </c>
      <c r="P163" s="26" t="str">
        <f aca="false">IF(COUNTA(A163:N163)=0,"",IF(B163="","Falta el nombre",IF(C163="","Falta la cédula",IF(LEN(C163)&lt;&gt;10,"La cédula debe tener 10 dígitos",IF(F163="","Falta el tipo de plan",IF(G163="","Falta la fecha de inicio",IF(H163="","Falta la fecha de vencimiento",IF(O163&lt;=0,"El vencimiento debe ser posterior al inicio",IF(AND(F163&lt;&gt;"DIARIO",O163&lt;21),"Duración muy corta: revisar fechas",IF(O163&gt;400,"Duración mayor a 400 días: revisar fechas",IF(I163="","Falta la forma de pago",IF(L163="","Falta el monto cobrado","OK"))))))))))))</f>
        <v/>
      </c>
    </row>
    <row r="164" customFormat="false" ht="15" hidden="false" customHeight="false" outlineLevel="0" collapsed="false">
      <c r="A164" s="18"/>
      <c r="B164" s="19"/>
      <c r="C164" s="20"/>
      <c r="D164" s="20"/>
      <c r="E164" s="19"/>
      <c r="F164" s="18"/>
      <c r="G164" s="21"/>
      <c r="H164" s="21"/>
      <c r="I164" s="18"/>
      <c r="J164" s="22"/>
      <c r="K164" s="23"/>
      <c r="L164" s="23"/>
      <c r="M164" s="24"/>
      <c r="N164" s="19"/>
      <c r="O164" s="25" t="str">
        <f aca="false">IF(OR(G164="",H164=""),"",H164-G164)</f>
        <v/>
      </c>
      <c r="P164" s="26" t="str">
        <f aca="false">IF(COUNTA(A164:N164)=0,"",IF(B164="","Falta el nombre",IF(C164="","Falta la cédula",IF(LEN(C164)&lt;&gt;10,"La cédula debe tener 10 dígitos",IF(F164="","Falta el tipo de plan",IF(G164="","Falta la fecha de inicio",IF(H164="","Falta la fecha de vencimiento",IF(O164&lt;=0,"El vencimiento debe ser posterior al inicio",IF(AND(F164&lt;&gt;"DIARIO",O164&lt;21),"Duración muy corta: revisar fechas",IF(O164&gt;400,"Duración mayor a 400 días: revisar fechas",IF(I164="","Falta la forma de pago",IF(L164="","Falta el monto cobrado","OK"))))))))))))</f>
        <v/>
      </c>
    </row>
    <row r="165" customFormat="false" ht="15" hidden="false" customHeight="false" outlineLevel="0" collapsed="false">
      <c r="A165" s="18"/>
      <c r="B165" s="19"/>
      <c r="C165" s="20"/>
      <c r="D165" s="20"/>
      <c r="E165" s="19"/>
      <c r="F165" s="18"/>
      <c r="G165" s="21"/>
      <c r="H165" s="21"/>
      <c r="I165" s="18"/>
      <c r="J165" s="22"/>
      <c r="K165" s="23"/>
      <c r="L165" s="23"/>
      <c r="M165" s="24"/>
      <c r="N165" s="19"/>
      <c r="O165" s="25" t="str">
        <f aca="false">IF(OR(G165="",H165=""),"",H165-G165)</f>
        <v/>
      </c>
      <c r="P165" s="26" t="str">
        <f aca="false">IF(COUNTA(A165:N165)=0,"",IF(B165="","Falta el nombre",IF(C165="","Falta la cédula",IF(LEN(C165)&lt;&gt;10,"La cédula debe tener 10 dígitos",IF(F165="","Falta el tipo de plan",IF(G165="","Falta la fecha de inicio",IF(H165="","Falta la fecha de vencimiento",IF(O165&lt;=0,"El vencimiento debe ser posterior al inicio",IF(AND(F165&lt;&gt;"DIARIO",O165&lt;21),"Duración muy corta: revisar fechas",IF(O165&gt;400,"Duración mayor a 400 días: revisar fechas",IF(I165="","Falta la forma de pago",IF(L165="","Falta el monto cobrado","OK"))))))))))))</f>
        <v/>
      </c>
    </row>
    <row r="166" customFormat="false" ht="15" hidden="false" customHeight="false" outlineLevel="0" collapsed="false">
      <c r="A166" s="18"/>
      <c r="B166" s="19"/>
      <c r="C166" s="20"/>
      <c r="D166" s="20"/>
      <c r="E166" s="19"/>
      <c r="F166" s="18"/>
      <c r="G166" s="21"/>
      <c r="H166" s="21"/>
      <c r="I166" s="18"/>
      <c r="J166" s="22"/>
      <c r="K166" s="23"/>
      <c r="L166" s="23"/>
      <c r="M166" s="24"/>
      <c r="N166" s="19"/>
      <c r="O166" s="25" t="str">
        <f aca="false">IF(OR(G166="",H166=""),"",H166-G166)</f>
        <v/>
      </c>
      <c r="P166" s="26" t="str">
        <f aca="false">IF(COUNTA(A166:N166)=0,"",IF(B166="","Falta el nombre",IF(C166="","Falta la cédula",IF(LEN(C166)&lt;&gt;10,"La cédula debe tener 10 dígitos",IF(F166="","Falta el tipo de plan",IF(G166="","Falta la fecha de inicio",IF(H166="","Falta la fecha de vencimiento",IF(O166&lt;=0,"El vencimiento debe ser posterior al inicio",IF(AND(F166&lt;&gt;"DIARIO",O166&lt;21),"Duración muy corta: revisar fechas",IF(O166&gt;400,"Duración mayor a 400 días: revisar fechas",IF(I166="","Falta la forma de pago",IF(L166="","Falta el monto cobrado","OK"))))))))))))</f>
        <v/>
      </c>
    </row>
    <row r="167" customFormat="false" ht="15" hidden="false" customHeight="false" outlineLevel="0" collapsed="false">
      <c r="A167" s="18"/>
      <c r="B167" s="19"/>
      <c r="C167" s="20"/>
      <c r="D167" s="20"/>
      <c r="E167" s="19"/>
      <c r="F167" s="18"/>
      <c r="G167" s="21"/>
      <c r="H167" s="21"/>
      <c r="I167" s="18"/>
      <c r="J167" s="22"/>
      <c r="K167" s="23"/>
      <c r="L167" s="23"/>
      <c r="M167" s="24"/>
      <c r="N167" s="19"/>
      <c r="O167" s="25" t="str">
        <f aca="false">IF(OR(G167="",H167=""),"",H167-G167)</f>
        <v/>
      </c>
      <c r="P167" s="26" t="str">
        <f aca="false">IF(COUNTA(A167:N167)=0,"",IF(B167="","Falta el nombre",IF(C167="","Falta la cédula",IF(LEN(C167)&lt;&gt;10,"La cédula debe tener 10 dígitos",IF(F167="","Falta el tipo de plan",IF(G167="","Falta la fecha de inicio",IF(H167="","Falta la fecha de vencimiento",IF(O167&lt;=0,"El vencimiento debe ser posterior al inicio",IF(AND(F167&lt;&gt;"DIARIO",O167&lt;21),"Duración muy corta: revisar fechas",IF(O167&gt;400,"Duración mayor a 400 días: revisar fechas",IF(I167="","Falta la forma de pago",IF(L167="","Falta el monto cobrado","OK"))))))))))))</f>
        <v/>
      </c>
    </row>
    <row r="168" customFormat="false" ht="15" hidden="false" customHeight="false" outlineLevel="0" collapsed="false">
      <c r="A168" s="18"/>
      <c r="B168" s="19"/>
      <c r="C168" s="20"/>
      <c r="D168" s="20"/>
      <c r="E168" s="19"/>
      <c r="F168" s="18"/>
      <c r="G168" s="21"/>
      <c r="H168" s="21"/>
      <c r="I168" s="18"/>
      <c r="J168" s="22"/>
      <c r="K168" s="23"/>
      <c r="L168" s="23"/>
      <c r="M168" s="24"/>
      <c r="N168" s="19"/>
      <c r="O168" s="25" t="str">
        <f aca="false">IF(OR(G168="",H168=""),"",H168-G168)</f>
        <v/>
      </c>
      <c r="P168" s="26" t="str">
        <f aca="false">IF(COUNTA(A168:N168)=0,"",IF(B168="","Falta el nombre",IF(C168="","Falta la cédula",IF(LEN(C168)&lt;&gt;10,"La cédula debe tener 10 dígitos",IF(F168="","Falta el tipo de plan",IF(G168="","Falta la fecha de inicio",IF(H168="","Falta la fecha de vencimiento",IF(O168&lt;=0,"El vencimiento debe ser posterior al inicio",IF(AND(F168&lt;&gt;"DIARIO",O168&lt;21),"Duración muy corta: revisar fechas",IF(O168&gt;400,"Duración mayor a 400 días: revisar fechas",IF(I168="","Falta la forma de pago",IF(L168="","Falta el monto cobrado","OK"))))))))))))</f>
        <v/>
      </c>
    </row>
    <row r="169" customFormat="false" ht="15" hidden="false" customHeight="false" outlineLevel="0" collapsed="false">
      <c r="A169" s="18"/>
      <c r="B169" s="19"/>
      <c r="C169" s="20"/>
      <c r="D169" s="20"/>
      <c r="E169" s="19"/>
      <c r="F169" s="18"/>
      <c r="G169" s="21"/>
      <c r="H169" s="21"/>
      <c r="I169" s="18"/>
      <c r="J169" s="22"/>
      <c r="K169" s="23"/>
      <c r="L169" s="23"/>
      <c r="M169" s="24"/>
      <c r="N169" s="19"/>
      <c r="O169" s="25" t="str">
        <f aca="false">IF(OR(G169="",H169=""),"",H169-G169)</f>
        <v/>
      </c>
      <c r="P169" s="26" t="str">
        <f aca="false">IF(COUNTA(A169:N169)=0,"",IF(B169="","Falta el nombre",IF(C169="","Falta la cédula",IF(LEN(C169)&lt;&gt;10,"La cédula debe tener 10 dígitos",IF(F169="","Falta el tipo de plan",IF(G169="","Falta la fecha de inicio",IF(H169="","Falta la fecha de vencimiento",IF(O169&lt;=0,"El vencimiento debe ser posterior al inicio",IF(AND(F169&lt;&gt;"DIARIO",O169&lt;21),"Duración muy corta: revisar fechas",IF(O169&gt;400,"Duración mayor a 400 días: revisar fechas",IF(I169="","Falta la forma de pago",IF(L169="","Falta el monto cobrado","OK"))))))))))))</f>
        <v/>
      </c>
    </row>
    <row r="170" customFormat="false" ht="15" hidden="false" customHeight="false" outlineLevel="0" collapsed="false">
      <c r="A170" s="18"/>
      <c r="B170" s="19"/>
      <c r="C170" s="20"/>
      <c r="D170" s="20"/>
      <c r="E170" s="19"/>
      <c r="F170" s="18"/>
      <c r="G170" s="21"/>
      <c r="H170" s="21"/>
      <c r="I170" s="18"/>
      <c r="J170" s="22"/>
      <c r="K170" s="23"/>
      <c r="L170" s="23"/>
      <c r="M170" s="24"/>
      <c r="N170" s="19"/>
      <c r="O170" s="25" t="str">
        <f aca="false">IF(OR(G170="",H170=""),"",H170-G170)</f>
        <v/>
      </c>
      <c r="P170" s="26" t="str">
        <f aca="false">IF(COUNTA(A170:N170)=0,"",IF(B170="","Falta el nombre",IF(C170="","Falta la cédula",IF(LEN(C170)&lt;&gt;10,"La cédula debe tener 10 dígitos",IF(F170="","Falta el tipo de plan",IF(G170="","Falta la fecha de inicio",IF(H170="","Falta la fecha de vencimiento",IF(O170&lt;=0,"El vencimiento debe ser posterior al inicio",IF(AND(F170&lt;&gt;"DIARIO",O170&lt;21),"Duración muy corta: revisar fechas",IF(O170&gt;400,"Duración mayor a 400 días: revisar fechas",IF(I170="","Falta la forma de pago",IF(L170="","Falta el monto cobrado","OK"))))))))))))</f>
        <v/>
      </c>
    </row>
    <row r="171" customFormat="false" ht="15" hidden="false" customHeight="false" outlineLevel="0" collapsed="false">
      <c r="A171" s="18"/>
      <c r="B171" s="19"/>
      <c r="C171" s="20"/>
      <c r="D171" s="20"/>
      <c r="E171" s="19"/>
      <c r="F171" s="18"/>
      <c r="G171" s="21"/>
      <c r="H171" s="21"/>
      <c r="I171" s="18"/>
      <c r="J171" s="22"/>
      <c r="K171" s="23"/>
      <c r="L171" s="23"/>
      <c r="M171" s="24"/>
      <c r="N171" s="19"/>
      <c r="O171" s="25" t="str">
        <f aca="false">IF(OR(G171="",H171=""),"",H171-G171)</f>
        <v/>
      </c>
      <c r="P171" s="26" t="str">
        <f aca="false">IF(COUNTA(A171:N171)=0,"",IF(B171="","Falta el nombre",IF(C171="","Falta la cédula",IF(LEN(C171)&lt;&gt;10,"La cédula debe tener 10 dígitos",IF(F171="","Falta el tipo de plan",IF(G171="","Falta la fecha de inicio",IF(H171="","Falta la fecha de vencimiento",IF(O171&lt;=0,"El vencimiento debe ser posterior al inicio",IF(AND(F171&lt;&gt;"DIARIO",O171&lt;21),"Duración muy corta: revisar fechas",IF(O171&gt;400,"Duración mayor a 400 días: revisar fechas",IF(I171="","Falta la forma de pago",IF(L171="","Falta el monto cobrado","OK"))))))))))))</f>
        <v/>
      </c>
    </row>
    <row r="172" customFormat="false" ht="15" hidden="false" customHeight="false" outlineLevel="0" collapsed="false">
      <c r="A172" s="18"/>
      <c r="B172" s="19"/>
      <c r="C172" s="20"/>
      <c r="D172" s="20"/>
      <c r="E172" s="19"/>
      <c r="F172" s="18"/>
      <c r="G172" s="21"/>
      <c r="H172" s="21"/>
      <c r="I172" s="18"/>
      <c r="J172" s="22"/>
      <c r="K172" s="23"/>
      <c r="L172" s="23"/>
      <c r="M172" s="24"/>
      <c r="N172" s="19"/>
      <c r="O172" s="25" t="str">
        <f aca="false">IF(OR(G172="",H172=""),"",H172-G172)</f>
        <v/>
      </c>
      <c r="P172" s="26" t="str">
        <f aca="false">IF(COUNTA(A172:N172)=0,"",IF(B172="","Falta el nombre",IF(C172="","Falta la cédula",IF(LEN(C172)&lt;&gt;10,"La cédula debe tener 10 dígitos",IF(F172="","Falta el tipo de plan",IF(G172="","Falta la fecha de inicio",IF(H172="","Falta la fecha de vencimiento",IF(O172&lt;=0,"El vencimiento debe ser posterior al inicio",IF(AND(F172&lt;&gt;"DIARIO",O172&lt;21),"Duración muy corta: revisar fechas",IF(O172&gt;400,"Duración mayor a 400 días: revisar fechas",IF(I172="","Falta la forma de pago",IF(L172="","Falta el monto cobrado","OK"))))))))))))</f>
        <v/>
      </c>
    </row>
    <row r="173" customFormat="false" ht="15" hidden="false" customHeight="false" outlineLevel="0" collapsed="false">
      <c r="A173" s="18"/>
      <c r="B173" s="19"/>
      <c r="C173" s="20"/>
      <c r="D173" s="20"/>
      <c r="E173" s="19"/>
      <c r="F173" s="18"/>
      <c r="G173" s="21"/>
      <c r="H173" s="21"/>
      <c r="I173" s="18"/>
      <c r="J173" s="22"/>
      <c r="K173" s="23"/>
      <c r="L173" s="23"/>
      <c r="M173" s="24"/>
      <c r="N173" s="19"/>
      <c r="O173" s="25" t="str">
        <f aca="false">IF(OR(G173="",H173=""),"",H173-G173)</f>
        <v/>
      </c>
      <c r="P173" s="26" t="str">
        <f aca="false">IF(COUNTA(A173:N173)=0,"",IF(B173="","Falta el nombre",IF(C173="","Falta la cédula",IF(LEN(C173)&lt;&gt;10,"La cédula debe tener 10 dígitos",IF(F173="","Falta el tipo de plan",IF(G173="","Falta la fecha de inicio",IF(H173="","Falta la fecha de vencimiento",IF(O173&lt;=0,"El vencimiento debe ser posterior al inicio",IF(AND(F173&lt;&gt;"DIARIO",O173&lt;21),"Duración muy corta: revisar fechas",IF(O173&gt;400,"Duración mayor a 400 días: revisar fechas",IF(I173="","Falta la forma de pago",IF(L173="","Falta el monto cobrado","OK"))))))))))))</f>
        <v/>
      </c>
    </row>
    <row r="174" customFormat="false" ht="15" hidden="false" customHeight="false" outlineLevel="0" collapsed="false">
      <c r="A174" s="18"/>
      <c r="B174" s="19"/>
      <c r="C174" s="20"/>
      <c r="D174" s="20"/>
      <c r="E174" s="19"/>
      <c r="F174" s="18"/>
      <c r="G174" s="21"/>
      <c r="H174" s="21"/>
      <c r="I174" s="18"/>
      <c r="J174" s="22"/>
      <c r="K174" s="23"/>
      <c r="L174" s="23"/>
      <c r="M174" s="24"/>
      <c r="N174" s="19"/>
      <c r="O174" s="25" t="str">
        <f aca="false">IF(OR(G174="",H174=""),"",H174-G174)</f>
        <v/>
      </c>
      <c r="P174" s="26" t="str">
        <f aca="false">IF(COUNTA(A174:N174)=0,"",IF(B174="","Falta el nombre",IF(C174="","Falta la cédula",IF(LEN(C174)&lt;&gt;10,"La cédula debe tener 10 dígitos",IF(F174="","Falta el tipo de plan",IF(G174="","Falta la fecha de inicio",IF(H174="","Falta la fecha de vencimiento",IF(O174&lt;=0,"El vencimiento debe ser posterior al inicio",IF(AND(F174&lt;&gt;"DIARIO",O174&lt;21),"Duración muy corta: revisar fechas",IF(O174&gt;400,"Duración mayor a 400 días: revisar fechas",IF(I174="","Falta la forma de pago",IF(L174="","Falta el monto cobrado","OK"))))))))))))</f>
        <v/>
      </c>
    </row>
    <row r="175" customFormat="false" ht="15" hidden="false" customHeight="false" outlineLevel="0" collapsed="false">
      <c r="A175" s="18"/>
      <c r="B175" s="19"/>
      <c r="C175" s="20"/>
      <c r="D175" s="20"/>
      <c r="E175" s="19"/>
      <c r="F175" s="18"/>
      <c r="G175" s="21"/>
      <c r="H175" s="21"/>
      <c r="I175" s="18"/>
      <c r="J175" s="22"/>
      <c r="K175" s="23"/>
      <c r="L175" s="23"/>
      <c r="M175" s="24"/>
      <c r="N175" s="19"/>
      <c r="O175" s="25" t="str">
        <f aca="false">IF(OR(G175="",H175=""),"",H175-G175)</f>
        <v/>
      </c>
      <c r="P175" s="26" t="str">
        <f aca="false">IF(COUNTA(A175:N175)=0,"",IF(B175="","Falta el nombre",IF(C175="","Falta la cédula",IF(LEN(C175)&lt;&gt;10,"La cédula debe tener 10 dígitos",IF(F175="","Falta el tipo de plan",IF(G175="","Falta la fecha de inicio",IF(H175="","Falta la fecha de vencimiento",IF(O175&lt;=0,"El vencimiento debe ser posterior al inicio",IF(AND(F175&lt;&gt;"DIARIO",O175&lt;21),"Duración muy corta: revisar fechas",IF(O175&gt;400,"Duración mayor a 400 días: revisar fechas",IF(I175="","Falta la forma de pago",IF(L175="","Falta el monto cobrado","OK"))))))))))))</f>
        <v/>
      </c>
    </row>
    <row r="176" customFormat="false" ht="15" hidden="false" customHeight="false" outlineLevel="0" collapsed="false">
      <c r="A176" s="18"/>
      <c r="B176" s="19"/>
      <c r="C176" s="20"/>
      <c r="D176" s="20"/>
      <c r="E176" s="19"/>
      <c r="F176" s="18"/>
      <c r="G176" s="21"/>
      <c r="H176" s="21"/>
      <c r="I176" s="18"/>
      <c r="J176" s="22"/>
      <c r="K176" s="23"/>
      <c r="L176" s="23"/>
      <c r="M176" s="24"/>
      <c r="N176" s="19"/>
      <c r="O176" s="25" t="str">
        <f aca="false">IF(OR(G176="",H176=""),"",H176-G176)</f>
        <v/>
      </c>
      <c r="P176" s="26" t="str">
        <f aca="false">IF(COUNTA(A176:N176)=0,"",IF(B176="","Falta el nombre",IF(C176="","Falta la cédula",IF(LEN(C176)&lt;&gt;10,"La cédula debe tener 10 dígitos",IF(F176="","Falta el tipo de plan",IF(G176="","Falta la fecha de inicio",IF(H176="","Falta la fecha de vencimiento",IF(O176&lt;=0,"El vencimiento debe ser posterior al inicio",IF(AND(F176&lt;&gt;"DIARIO",O176&lt;21),"Duración muy corta: revisar fechas",IF(O176&gt;400,"Duración mayor a 400 días: revisar fechas",IF(I176="","Falta la forma de pago",IF(L176="","Falta el monto cobrado","OK"))))))))))))</f>
        <v/>
      </c>
    </row>
    <row r="177" customFormat="false" ht="15" hidden="false" customHeight="false" outlineLevel="0" collapsed="false">
      <c r="A177" s="18"/>
      <c r="B177" s="19"/>
      <c r="C177" s="20"/>
      <c r="D177" s="20"/>
      <c r="E177" s="19"/>
      <c r="F177" s="18"/>
      <c r="G177" s="21"/>
      <c r="H177" s="21"/>
      <c r="I177" s="18"/>
      <c r="J177" s="22"/>
      <c r="K177" s="23"/>
      <c r="L177" s="23"/>
      <c r="M177" s="24"/>
      <c r="N177" s="19"/>
      <c r="O177" s="25" t="str">
        <f aca="false">IF(OR(G177="",H177=""),"",H177-G177)</f>
        <v/>
      </c>
      <c r="P177" s="26" t="str">
        <f aca="false">IF(COUNTA(A177:N177)=0,"",IF(B177="","Falta el nombre",IF(C177="","Falta la cédula",IF(LEN(C177)&lt;&gt;10,"La cédula debe tener 10 dígitos",IF(F177="","Falta el tipo de plan",IF(G177="","Falta la fecha de inicio",IF(H177="","Falta la fecha de vencimiento",IF(O177&lt;=0,"El vencimiento debe ser posterior al inicio",IF(AND(F177&lt;&gt;"DIARIO",O177&lt;21),"Duración muy corta: revisar fechas",IF(O177&gt;400,"Duración mayor a 400 días: revisar fechas",IF(I177="","Falta la forma de pago",IF(L177="","Falta el monto cobrado","OK"))))))))))))</f>
        <v/>
      </c>
    </row>
    <row r="178" customFormat="false" ht="15" hidden="false" customHeight="false" outlineLevel="0" collapsed="false">
      <c r="A178" s="18"/>
      <c r="B178" s="19"/>
      <c r="C178" s="20"/>
      <c r="D178" s="20"/>
      <c r="E178" s="19"/>
      <c r="F178" s="18"/>
      <c r="G178" s="21"/>
      <c r="H178" s="21"/>
      <c r="I178" s="18"/>
      <c r="J178" s="22"/>
      <c r="K178" s="23"/>
      <c r="L178" s="23"/>
      <c r="M178" s="24"/>
      <c r="N178" s="19"/>
      <c r="O178" s="25" t="str">
        <f aca="false">IF(OR(G178="",H178=""),"",H178-G178)</f>
        <v/>
      </c>
      <c r="P178" s="26" t="str">
        <f aca="false">IF(COUNTA(A178:N178)=0,"",IF(B178="","Falta el nombre",IF(C178="","Falta la cédula",IF(LEN(C178)&lt;&gt;10,"La cédula debe tener 10 dígitos",IF(F178="","Falta el tipo de plan",IF(G178="","Falta la fecha de inicio",IF(H178="","Falta la fecha de vencimiento",IF(O178&lt;=0,"El vencimiento debe ser posterior al inicio",IF(AND(F178&lt;&gt;"DIARIO",O178&lt;21),"Duración muy corta: revisar fechas",IF(O178&gt;400,"Duración mayor a 400 días: revisar fechas",IF(I178="","Falta la forma de pago",IF(L178="","Falta el monto cobrado","OK"))))))))))))</f>
        <v/>
      </c>
    </row>
    <row r="179" customFormat="false" ht="15" hidden="false" customHeight="false" outlineLevel="0" collapsed="false">
      <c r="A179" s="18"/>
      <c r="B179" s="19"/>
      <c r="C179" s="20"/>
      <c r="D179" s="20"/>
      <c r="E179" s="19"/>
      <c r="F179" s="18"/>
      <c r="G179" s="21"/>
      <c r="H179" s="21"/>
      <c r="I179" s="18"/>
      <c r="J179" s="22"/>
      <c r="K179" s="23"/>
      <c r="L179" s="23"/>
      <c r="M179" s="24"/>
      <c r="N179" s="19"/>
      <c r="O179" s="25" t="str">
        <f aca="false">IF(OR(G179="",H179=""),"",H179-G179)</f>
        <v/>
      </c>
      <c r="P179" s="26" t="str">
        <f aca="false">IF(COUNTA(A179:N179)=0,"",IF(B179="","Falta el nombre",IF(C179="","Falta la cédula",IF(LEN(C179)&lt;&gt;10,"La cédula debe tener 10 dígitos",IF(F179="","Falta el tipo de plan",IF(G179="","Falta la fecha de inicio",IF(H179="","Falta la fecha de vencimiento",IF(O179&lt;=0,"El vencimiento debe ser posterior al inicio",IF(AND(F179&lt;&gt;"DIARIO",O179&lt;21),"Duración muy corta: revisar fechas",IF(O179&gt;400,"Duración mayor a 400 días: revisar fechas",IF(I179="","Falta la forma de pago",IF(L179="","Falta el monto cobrado","OK"))))))))))))</f>
        <v/>
      </c>
    </row>
    <row r="180" customFormat="false" ht="15" hidden="false" customHeight="false" outlineLevel="0" collapsed="false">
      <c r="A180" s="18"/>
      <c r="B180" s="19"/>
      <c r="C180" s="20"/>
      <c r="D180" s="20"/>
      <c r="E180" s="19"/>
      <c r="F180" s="18"/>
      <c r="G180" s="21"/>
      <c r="H180" s="21"/>
      <c r="I180" s="18"/>
      <c r="J180" s="22"/>
      <c r="K180" s="23"/>
      <c r="L180" s="23"/>
      <c r="M180" s="24"/>
      <c r="N180" s="19"/>
      <c r="O180" s="25" t="str">
        <f aca="false">IF(OR(G180="",H180=""),"",H180-G180)</f>
        <v/>
      </c>
      <c r="P180" s="26" t="str">
        <f aca="false">IF(COUNTA(A180:N180)=0,"",IF(B180="","Falta el nombre",IF(C180="","Falta la cédula",IF(LEN(C180)&lt;&gt;10,"La cédula debe tener 10 dígitos",IF(F180="","Falta el tipo de plan",IF(G180="","Falta la fecha de inicio",IF(H180="","Falta la fecha de vencimiento",IF(O180&lt;=0,"El vencimiento debe ser posterior al inicio",IF(AND(F180&lt;&gt;"DIARIO",O180&lt;21),"Duración muy corta: revisar fechas",IF(O180&gt;400,"Duración mayor a 400 días: revisar fechas",IF(I180="","Falta la forma de pago",IF(L180="","Falta el monto cobrado","OK"))))))))))))</f>
        <v/>
      </c>
    </row>
    <row r="181" customFormat="false" ht="15" hidden="false" customHeight="false" outlineLevel="0" collapsed="false">
      <c r="A181" s="18"/>
      <c r="B181" s="19"/>
      <c r="C181" s="20"/>
      <c r="D181" s="20"/>
      <c r="E181" s="19"/>
      <c r="F181" s="18"/>
      <c r="G181" s="21"/>
      <c r="H181" s="21"/>
      <c r="I181" s="18"/>
      <c r="J181" s="22"/>
      <c r="K181" s="23"/>
      <c r="L181" s="23"/>
      <c r="M181" s="24"/>
      <c r="N181" s="19"/>
      <c r="O181" s="25" t="str">
        <f aca="false">IF(OR(G181="",H181=""),"",H181-G181)</f>
        <v/>
      </c>
      <c r="P181" s="26" t="str">
        <f aca="false">IF(COUNTA(A181:N181)=0,"",IF(B181="","Falta el nombre",IF(C181="","Falta la cédula",IF(LEN(C181)&lt;&gt;10,"La cédula debe tener 10 dígitos",IF(F181="","Falta el tipo de plan",IF(G181="","Falta la fecha de inicio",IF(H181="","Falta la fecha de vencimiento",IF(O181&lt;=0,"El vencimiento debe ser posterior al inicio",IF(AND(F181&lt;&gt;"DIARIO",O181&lt;21),"Duración muy corta: revisar fechas",IF(O181&gt;400,"Duración mayor a 400 días: revisar fechas",IF(I181="","Falta la forma de pago",IF(L181="","Falta el monto cobrado","OK"))))))))))))</f>
        <v/>
      </c>
    </row>
    <row r="182" customFormat="false" ht="15" hidden="false" customHeight="false" outlineLevel="0" collapsed="false">
      <c r="A182" s="18"/>
      <c r="B182" s="19"/>
      <c r="C182" s="20"/>
      <c r="D182" s="20"/>
      <c r="E182" s="19"/>
      <c r="F182" s="18"/>
      <c r="G182" s="21"/>
      <c r="H182" s="21"/>
      <c r="I182" s="18"/>
      <c r="J182" s="22"/>
      <c r="K182" s="23"/>
      <c r="L182" s="23"/>
      <c r="M182" s="24"/>
      <c r="N182" s="19"/>
      <c r="O182" s="25" t="str">
        <f aca="false">IF(OR(G182="",H182=""),"",H182-G182)</f>
        <v/>
      </c>
      <c r="P182" s="26" t="str">
        <f aca="false">IF(COUNTA(A182:N182)=0,"",IF(B182="","Falta el nombre",IF(C182="","Falta la cédula",IF(LEN(C182)&lt;&gt;10,"La cédula debe tener 10 dígitos",IF(F182="","Falta el tipo de plan",IF(G182="","Falta la fecha de inicio",IF(H182="","Falta la fecha de vencimiento",IF(O182&lt;=0,"El vencimiento debe ser posterior al inicio",IF(AND(F182&lt;&gt;"DIARIO",O182&lt;21),"Duración muy corta: revisar fechas",IF(O182&gt;400,"Duración mayor a 400 días: revisar fechas",IF(I182="","Falta la forma de pago",IF(L182="","Falta el monto cobrado","OK"))))))))))))</f>
        <v/>
      </c>
    </row>
    <row r="183" customFormat="false" ht="15" hidden="false" customHeight="false" outlineLevel="0" collapsed="false">
      <c r="A183" s="18"/>
      <c r="B183" s="19"/>
      <c r="C183" s="20"/>
      <c r="D183" s="20"/>
      <c r="E183" s="19"/>
      <c r="F183" s="18"/>
      <c r="G183" s="21"/>
      <c r="H183" s="21"/>
      <c r="I183" s="18"/>
      <c r="J183" s="22"/>
      <c r="K183" s="23"/>
      <c r="L183" s="23"/>
      <c r="M183" s="24"/>
      <c r="N183" s="19"/>
      <c r="O183" s="25" t="str">
        <f aca="false">IF(OR(G183="",H183=""),"",H183-G183)</f>
        <v/>
      </c>
      <c r="P183" s="26" t="str">
        <f aca="false">IF(COUNTA(A183:N183)=0,"",IF(B183="","Falta el nombre",IF(C183="","Falta la cédula",IF(LEN(C183)&lt;&gt;10,"La cédula debe tener 10 dígitos",IF(F183="","Falta el tipo de plan",IF(G183="","Falta la fecha de inicio",IF(H183="","Falta la fecha de vencimiento",IF(O183&lt;=0,"El vencimiento debe ser posterior al inicio",IF(AND(F183&lt;&gt;"DIARIO",O183&lt;21),"Duración muy corta: revisar fechas",IF(O183&gt;400,"Duración mayor a 400 días: revisar fechas",IF(I183="","Falta la forma de pago",IF(L183="","Falta el monto cobrado","OK"))))))))))))</f>
        <v/>
      </c>
    </row>
    <row r="184" customFormat="false" ht="15" hidden="false" customHeight="false" outlineLevel="0" collapsed="false">
      <c r="A184" s="18"/>
      <c r="B184" s="19"/>
      <c r="C184" s="20"/>
      <c r="D184" s="20"/>
      <c r="E184" s="19"/>
      <c r="F184" s="18"/>
      <c r="G184" s="21"/>
      <c r="H184" s="21"/>
      <c r="I184" s="18"/>
      <c r="J184" s="22"/>
      <c r="K184" s="23"/>
      <c r="L184" s="23"/>
      <c r="M184" s="24"/>
      <c r="N184" s="19"/>
      <c r="O184" s="25" t="str">
        <f aca="false">IF(OR(G184="",H184=""),"",H184-G184)</f>
        <v/>
      </c>
      <c r="P184" s="26" t="str">
        <f aca="false">IF(COUNTA(A184:N184)=0,"",IF(B184="","Falta el nombre",IF(C184="","Falta la cédula",IF(LEN(C184)&lt;&gt;10,"La cédula debe tener 10 dígitos",IF(F184="","Falta el tipo de plan",IF(G184="","Falta la fecha de inicio",IF(H184="","Falta la fecha de vencimiento",IF(O184&lt;=0,"El vencimiento debe ser posterior al inicio",IF(AND(F184&lt;&gt;"DIARIO",O184&lt;21),"Duración muy corta: revisar fechas",IF(O184&gt;400,"Duración mayor a 400 días: revisar fechas",IF(I184="","Falta la forma de pago",IF(L184="","Falta el monto cobrado","OK"))))))))))))</f>
        <v/>
      </c>
    </row>
    <row r="185" customFormat="false" ht="15" hidden="false" customHeight="false" outlineLevel="0" collapsed="false">
      <c r="A185" s="18"/>
      <c r="B185" s="19"/>
      <c r="C185" s="20"/>
      <c r="D185" s="20"/>
      <c r="E185" s="19"/>
      <c r="F185" s="18"/>
      <c r="G185" s="21"/>
      <c r="H185" s="21"/>
      <c r="I185" s="18"/>
      <c r="J185" s="22"/>
      <c r="K185" s="23"/>
      <c r="L185" s="23"/>
      <c r="M185" s="24"/>
      <c r="N185" s="19"/>
      <c r="O185" s="25" t="str">
        <f aca="false">IF(OR(G185="",H185=""),"",H185-G185)</f>
        <v/>
      </c>
      <c r="P185" s="26" t="str">
        <f aca="false">IF(COUNTA(A185:N185)=0,"",IF(B185="","Falta el nombre",IF(C185="","Falta la cédula",IF(LEN(C185)&lt;&gt;10,"La cédula debe tener 10 dígitos",IF(F185="","Falta el tipo de plan",IF(G185="","Falta la fecha de inicio",IF(H185="","Falta la fecha de vencimiento",IF(O185&lt;=0,"El vencimiento debe ser posterior al inicio",IF(AND(F185&lt;&gt;"DIARIO",O185&lt;21),"Duración muy corta: revisar fechas",IF(O185&gt;400,"Duración mayor a 400 días: revisar fechas",IF(I185="","Falta la forma de pago",IF(L185="","Falta el monto cobrado","OK"))))))))))))</f>
        <v/>
      </c>
    </row>
    <row r="186" customFormat="false" ht="15" hidden="false" customHeight="false" outlineLevel="0" collapsed="false">
      <c r="A186" s="18"/>
      <c r="B186" s="19"/>
      <c r="C186" s="20"/>
      <c r="D186" s="20"/>
      <c r="E186" s="19"/>
      <c r="F186" s="18"/>
      <c r="G186" s="21"/>
      <c r="H186" s="21"/>
      <c r="I186" s="18"/>
      <c r="J186" s="22"/>
      <c r="K186" s="23"/>
      <c r="L186" s="23"/>
      <c r="M186" s="24"/>
      <c r="N186" s="19"/>
      <c r="O186" s="25" t="str">
        <f aca="false">IF(OR(G186="",H186=""),"",H186-G186)</f>
        <v/>
      </c>
      <c r="P186" s="26" t="str">
        <f aca="false">IF(COUNTA(A186:N186)=0,"",IF(B186="","Falta el nombre",IF(C186="","Falta la cédula",IF(LEN(C186)&lt;&gt;10,"La cédula debe tener 10 dígitos",IF(F186="","Falta el tipo de plan",IF(G186="","Falta la fecha de inicio",IF(H186="","Falta la fecha de vencimiento",IF(O186&lt;=0,"El vencimiento debe ser posterior al inicio",IF(AND(F186&lt;&gt;"DIARIO",O186&lt;21),"Duración muy corta: revisar fechas",IF(O186&gt;400,"Duración mayor a 400 días: revisar fechas",IF(I186="","Falta la forma de pago",IF(L186="","Falta el monto cobrado","OK"))))))))))))</f>
        <v/>
      </c>
    </row>
    <row r="187" customFormat="false" ht="15" hidden="false" customHeight="false" outlineLevel="0" collapsed="false">
      <c r="A187" s="18"/>
      <c r="B187" s="19"/>
      <c r="C187" s="20"/>
      <c r="D187" s="20"/>
      <c r="E187" s="19"/>
      <c r="F187" s="18"/>
      <c r="G187" s="21"/>
      <c r="H187" s="21"/>
      <c r="I187" s="18"/>
      <c r="J187" s="22"/>
      <c r="K187" s="23"/>
      <c r="L187" s="23"/>
      <c r="M187" s="24"/>
      <c r="N187" s="19"/>
      <c r="O187" s="25" t="str">
        <f aca="false">IF(OR(G187="",H187=""),"",H187-G187)</f>
        <v/>
      </c>
      <c r="P187" s="26" t="str">
        <f aca="false">IF(COUNTA(A187:N187)=0,"",IF(B187="","Falta el nombre",IF(C187="","Falta la cédula",IF(LEN(C187)&lt;&gt;10,"La cédula debe tener 10 dígitos",IF(F187="","Falta el tipo de plan",IF(G187="","Falta la fecha de inicio",IF(H187="","Falta la fecha de vencimiento",IF(O187&lt;=0,"El vencimiento debe ser posterior al inicio",IF(AND(F187&lt;&gt;"DIARIO",O187&lt;21),"Duración muy corta: revisar fechas",IF(O187&gt;400,"Duración mayor a 400 días: revisar fechas",IF(I187="","Falta la forma de pago",IF(L187="","Falta el monto cobrado","OK"))))))))))))</f>
        <v/>
      </c>
    </row>
    <row r="188" customFormat="false" ht="15" hidden="false" customHeight="false" outlineLevel="0" collapsed="false">
      <c r="A188" s="18"/>
      <c r="B188" s="19"/>
      <c r="C188" s="20"/>
      <c r="D188" s="20"/>
      <c r="E188" s="19"/>
      <c r="F188" s="18"/>
      <c r="G188" s="21"/>
      <c r="H188" s="21"/>
      <c r="I188" s="18"/>
      <c r="J188" s="22"/>
      <c r="K188" s="23"/>
      <c r="L188" s="23"/>
      <c r="M188" s="24"/>
      <c r="N188" s="19"/>
      <c r="O188" s="25" t="str">
        <f aca="false">IF(OR(G188="",H188=""),"",H188-G188)</f>
        <v/>
      </c>
      <c r="P188" s="26" t="str">
        <f aca="false">IF(COUNTA(A188:N188)=0,"",IF(B188="","Falta el nombre",IF(C188="","Falta la cédula",IF(LEN(C188)&lt;&gt;10,"La cédula debe tener 10 dígitos",IF(F188="","Falta el tipo de plan",IF(G188="","Falta la fecha de inicio",IF(H188="","Falta la fecha de vencimiento",IF(O188&lt;=0,"El vencimiento debe ser posterior al inicio",IF(AND(F188&lt;&gt;"DIARIO",O188&lt;21),"Duración muy corta: revisar fechas",IF(O188&gt;400,"Duración mayor a 400 días: revisar fechas",IF(I188="","Falta la forma de pago",IF(L188="","Falta el monto cobrado","OK"))))))))))))</f>
        <v/>
      </c>
    </row>
    <row r="189" customFormat="false" ht="15" hidden="false" customHeight="false" outlineLevel="0" collapsed="false">
      <c r="A189" s="18"/>
      <c r="B189" s="19"/>
      <c r="C189" s="20"/>
      <c r="D189" s="20"/>
      <c r="E189" s="19"/>
      <c r="F189" s="18"/>
      <c r="G189" s="21"/>
      <c r="H189" s="21"/>
      <c r="I189" s="18"/>
      <c r="J189" s="22"/>
      <c r="K189" s="23"/>
      <c r="L189" s="23"/>
      <c r="M189" s="24"/>
      <c r="N189" s="19"/>
      <c r="O189" s="25" t="str">
        <f aca="false">IF(OR(G189="",H189=""),"",H189-G189)</f>
        <v/>
      </c>
      <c r="P189" s="26" t="str">
        <f aca="false">IF(COUNTA(A189:N189)=0,"",IF(B189="","Falta el nombre",IF(C189="","Falta la cédula",IF(LEN(C189)&lt;&gt;10,"La cédula debe tener 10 dígitos",IF(F189="","Falta el tipo de plan",IF(G189="","Falta la fecha de inicio",IF(H189="","Falta la fecha de vencimiento",IF(O189&lt;=0,"El vencimiento debe ser posterior al inicio",IF(AND(F189&lt;&gt;"DIARIO",O189&lt;21),"Duración muy corta: revisar fechas",IF(O189&gt;400,"Duración mayor a 400 días: revisar fechas",IF(I189="","Falta la forma de pago",IF(L189="","Falta el monto cobrado","OK"))))))))))))</f>
        <v/>
      </c>
    </row>
    <row r="190" customFormat="false" ht="15" hidden="false" customHeight="false" outlineLevel="0" collapsed="false">
      <c r="A190" s="18"/>
      <c r="B190" s="19"/>
      <c r="C190" s="20"/>
      <c r="D190" s="20"/>
      <c r="E190" s="19"/>
      <c r="F190" s="18"/>
      <c r="G190" s="21"/>
      <c r="H190" s="21"/>
      <c r="I190" s="18"/>
      <c r="J190" s="22"/>
      <c r="K190" s="23"/>
      <c r="L190" s="23"/>
      <c r="M190" s="24"/>
      <c r="N190" s="19"/>
      <c r="O190" s="25" t="str">
        <f aca="false">IF(OR(G190="",H190=""),"",H190-G190)</f>
        <v/>
      </c>
      <c r="P190" s="26" t="str">
        <f aca="false">IF(COUNTA(A190:N190)=0,"",IF(B190="","Falta el nombre",IF(C190="","Falta la cédula",IF(LEN(C190)&lt;&gt;10,"La cédula debe tener 10 dígitos",IF(F190="","Falta el tipo de plan",IF(G190="","Falta la fecha de inicio",IF(H190="","Falta la fecha de vencimiento",IF(O190&lt;=0,"El vencimiento debe ser posterior al inicio",IF(AND(F190&lt;&gt;"DIARIO",O190&lt;21),"Duración muy corta: revisar fechas",IF(O190&gt;400,"Duración mayor a 400 días: revisar fechas",IF(I190="","Falta la forma de pago",IF(L190="","Falta el monto cobrado","OK"))))))))))))</f>
        <v/>
      </c>
    </row>
    <row r="191" customFormat="false" ht="15" hidden="false" customHeight="false" outlineLevel="0" collapsed="false">
      <c r="A191" s="18"/>
      <c r="B191" s="19"/>
      <c r="C191" s="20"/>
      <c r="D191" s="20"/>
      <c r="E191" s="19"/>
      <c r="F191" s="18"/>
      <c r="G191" s="21"/>
      <c r="H191" s="21"/>
      <c r="I191" s="18"/>
      <c r="J191" s="22"/>
      <c r="K191" s="23"/>
      <c r="L191" s="23"/>
      <c r="M191" s="24"/>
      <c r="N191" s="19"/>
      <c r="O191" s="25" t="str">
        <f aca="false">IF(OR(G191="",H191=""),"",H191-G191)</f>
        <v/>
      </c>
      <c r="P191" s="26" t="str">
        <f aca="false">IF(COUNTA(A191:N191)=0,"",IF(B191="","Falta el nombre",IF(C191="","Falta la cédula",IF(LEN(C191)&lt;&gt;10,"La cédula debe tener 10 dígitos",IF(F191="","Falta el tipo de plan",IF(G191="","Falta la fecha de inicio",IF(H191="","Falta la fecha de vencimiento",IF(O191&lt;=0,"El vencimiento debe ser posterior al inicio",IF(AND(F191&lt;&gt;"DIARIO",O191&lt;21),"Duración muy corta: revisar fechas",IF(O191&gt;400,"Duración mayor a 400 días: revisar fechas",IF(I191="","Falta la forma de pago",IF(L191="","Falta el monto cobrado","OK"))))))))))))</f>
        <v/>
      </c>
    </row>
    <row r="192" customFormat="false" ht="15" hidden="false" customHeight="false" outlineLevel="0" collapsed="false">
      <c r="A192" s="18"/>
      <c r="B192" s="19"/>
      <c r="C192" s="20"/>
      <c r="D192" s="20"/>
      <c r="E192" s="19"/>
      <c r="F192" s="18"/>
      <c r="G192" s="21"/>
      <c r="H192" s="21"/>
      <c r="I192" s="18"/>
      <c r="J192" s="22"/>
      <c r="K192" s="23"/>
      <c r="L192" s="23"/>
      <c r="M192" s="24"/>
      <c r="N192" s="19"/>
      <c r="O192" s="25" t="str">
        <f aca="false">IF(OR(G192="",H192=""),"",H192-G192)</f>
        <v/>
      </c>
      <c r="P192" s="26" t="str">
        <f aca="false">IF(COUNTA(A192:N192)=0,"",IF(B192="","Falta el nombre",IF(C192="","Falta la cédula",IF(LEN(C192)&lt;&gt;10,"La cédula debe tener 10 dígitos",IF(F192="","Falta el tipo de plan",IF(G192="","Falta la fecha de inicio",IF(H192="","Falta la fecha de vencimiento",IF(O192&lt;=0,"El vencimiento debe ser posterior al inicio",IF(AND(F192&lt;&gt;"DIARIO",O192&lt;21),"Duración muy corta: revisar fechas",IF(O192&gt;400,"Duración mayor a 400 días: revisar fechas",IF(I192="","Falta la forma de pago",IF(L192="","Falta el monto cobrado","OK"))))))))))))</f>
        <v/>
      </c>
    </row>
    <row r="193" customFormat="false" ht="15" hidden="false" customHeight="false" outlineLevel="0" collapsed="false">
      <c r="A193" s="18"/>
      <c r="B193" s="19"/>
      <c r="C193" s="20"/>
      <c r="D193" s="20"/>
      <c r="E193" s="19"/>
      <c r="F193" s="18"/>
      <c r="G193" s="21"/>
      <c r="H193" s="21"/>
      <c r="I193" s="18"/>
      <c r="J193" s="22"/>
      <c r="K193" s="23"/>
      <c r="L193" s="23"/>
      <c r="M193" s="24"/>
      <c r="N193" s="19"/>
      <c r="O193" s="25" t="str">
        <f aca="false">IF(OR(G193="",H193=""),"",H193-G193)</f>
        <v/>
      </c>
      <c r="P193" s="26" t="str">
        <f aca="false">IF(COUNTA(A193:N193)=0,"",IF(B193="","Falta el nombre",IF(C193="","Falta la cédula",IF(LEN(C193)&lt;&gt;10,"La cédula debe tener 10 dígitos",IF(F193="","Falta el tipo de plan",IF(G193="","Falta la fecha de inicio",IF(H193="","Falta la fecha de vencimiento",IF(O193&lt;=0,"El vencimiento debe ser posterior al inicio",IF(AND(F193&lt;&gt;"DIARIO",O193&lt;21),"Duración muy corta: revisar fechas",IF(O193&gt;400,"Duración mayor a 400 días: revisar fechas",IF(I193="","Falta la forma de pago",IF(L193="","Falta el monto cobrado","OK"))))))))))))</f>
        <v/>
      </c>
    </row>
    <row r="194" customFormat="false" ht="15" hidden="false" customHeight="false" outlineLevel="0" collapsed="false">
      <c r="A194" s="18"/>
      <c r="B194" s="19"/>
      <c r="C194" s="20"/>
      <c r="D194" s="20"/>
      <c r="E194" s="19"/>
      <c r="F194" s="18"/>
      <c r="G194" s="21"/>
      <c r="H194" s="21"/>
      <c r="I194" s="18"/>
      <c r="J194" s="22"/>
      <c r="K194" s="23"/>
      <c r="L194" s="23"/>
      <c r="M194" s="24"/>
      <c r="N194" s="19"/>
      <c r="O194" s="25" t="str">
        <f aca="false">IF(OR(G194="",H194=""),"",H194-G194)</f>
        <v/>
      </c>
      <c r="P194" s="26" t="str">
        <f aca="false">IF(COUNTA(A194:N194)=0,"",IF(B194="","Falta el nombre",IF(C194="","Falta la cédula",IF(LEN(C194)&lt;&gt;10,"La cédula debe tener 10 dígitos",IF(F194="","Falta el tipo de plan",IF(G194="","Falta la fecha de inicio",IF(H194="","Falta la fecha de vencimiento",IF(O194&lt;=0,"El vencimiento debe ser posterior al inicio",IF(AND(F194&lt;&gt;"DIARIO",O194&lt;21),"Duración muy corta: revisar fechas",IF(O194&gt;400,"Duración mayor a 400 días: revisar fechas",IF(I194="","Falta la forma de pago",IF(L194="","Falta el monto cobrado","OK"))))))))))))</f>
        <v/>
      </c>
    </row>
    <row r="195" customFormat="false" ht="15" hidden="false" customHeight="false" outlineLevel="0" collapsed="false">
      <c r="A195" s="18"/>
      <c r="B195" s="19"/>
      <c r="C195" s="20"/>
      <c r="D195" s="20"/>
      <c r="E195" s="19"/>
      <c r="F195" s="18"/>
      <c r="G195" s="21"/>
      <c r="H195" s="21"/>
      <c r="I195" s="18"/>
      <c r="J195" s="22"/>
      <c r="K195" s="23"/>
      <c r="L195" s="23"/>
      <c r="M195" s="24"/>
      <c r="N195" s="19"/>
      <c r="O195" s="25" t="str">
        <f aca="false">IF(OR(G195="",H195=""),"",H195-G195)</f>
        <v/>
      </c>
      <c r="P195" s="26" t="str">
        <f aca="false">IF(COUNTA(A195:N195)=0,"",IF(B195="","Falta el nombre",IF(C195="","Falta la cédula",IF(LEN(C195)&lt;&gt;10,"La cédula debe tener 10 dígitos",IF(F195="","Falta el tipo de plan",IF(G195="","Falta la fecha de inicio",IF(H195="","Falta la fecha de vencimiento",IF(O195&lt;=0,"El vencimiento debe ser posterior al inicio",IF(AND(F195&lt;&gt;"DIARIO",O195&lt;21),"Duración muy corta: revisar fechas",IF(O195&gt;400,"Duración mayor a 400 días: revisar fechas",IF(I195="","Falta la forma de pago",IF(L195="","Falta el monto cobrado","OK"))))))))))))</f>
        <v/>
      </c>
    </row>
    <row r="196" customFormat="false" ht="15" hidden="false" customHeight="false" outlineLevel="0" collapsed="false">
      <c r="A196" s="18"/>
      <c r="B196" s="19"/>
      <c r="C196" s="20"/>
      <c r="D196" s="20"/>
      <c r="E196" s="19"/>
      <c r="F196" s="18"/>
      <c r="G196" s="21"/>
      <c r="H196" s="21"/>
      <c r="I196" s="18"/>
      <c r="J196" s="22"/>
      <c r="K196" s="23"/>
      <c r="L196" s="23"/>
      <c r="M196" s="24"/>
      <c r="N196" s="19"/>
      <c r="O196" s="25" t="str">
        <f aca="false">IF(OR(G196="",H196=""),"",H196-G196)</f>
        <v/>
      </c>
      <c r="P196" s="26" t="str">
        <f aca="false">IF(COUNTA(A196:N196)=0,"",IF(B196="","Falta el nombre",IF(C196="","Falta la cédula",IF(LEN(C196)&lt;&gt;10,"La cédula debe tener 10 dígitos",IF(F196="","Falta el tipo de plan",IF(G196="","Falta la fecha de inicio",IF(H196="","Falta la fecha de vencimiento",IF(O196&lt;=0,"El vencimiento debe ser posterior al inicio",IF(AND(F196&lt;&gt;"DIARIO",O196&lt;21),"Duración muy corta: revisar fechas",IF(O196&gt;400,"Duración mayor a 400 días: revisar fechas",IF(I196="","Falta la forma de pago",IF(L196="","Falta el monto cobrado","OK"))))))))))))</f>
        <v/>
      </c>
    </row>
    <row r="197" customFormat="false" ht="15" hidden="false" customHeight="false" outlineLevel="0" collapsed="false">
      <c r="A197" s="18"/>
      <c r="B197" s="19"/>
      <c r="C197" s="20"/>
      <c r="D197" s="20"/>
      <c r="E197" s="19"/>
      <c r="F197" s="18"/>
      <c r="G197" s="21"/>
      <c r="H197" s="21"/>
      <c r="I197" s="18"/>
      <c r="J197" s="22"/>
      <c r="K197" s="23"/>
      <c r="L197" s="23"/>
      <c r="M197" s="24"/>
      <c r="N197" s="19"/>
      <c r="O197" s="25" t="str">
        <f aca="false">IF(OR(G197="",H197=""),"",H197-G197)</f>
        <v/>
      </c>
      <c r="P197" s="26" t="str">
        <f aca="false">IF(COUNTA(A197:N197)=0,"",IF(B197="","Falta el nombre",IF(C197="","Falta la cédula",IF(LEN(C197)&lt;&gt;10,"La cédula debe tener 10 dígitos",IF(F197="","Falta el tipo de plan",IF(G197="","Falta la fecha de inicio",IF(H197="","Falta la fecha de vencimiento",IF(O197&lt;=0,"El vencimiento debe ser posterior al inicio",IF(AND(F197&lt;&gt;"DIARIO",O197&lt;21),"Duración muy corta: revisar fechas",IF(O197&gt;400,"Duración mayor a 400 días: revisar fechas",IF(I197="","Falta la forma de pago",IF(L197="","Falta el monto cobrado","OK"))))))))))))</f>
        <v/>
      </c>
    </row>
    <row r="198" customFormat="false" ht="15" hidden="false" customHeight="false" outlineLevel="0" collapsed="false">
      <c r="A198" s="18"/>
      <c r="B198" s="19"/>
      <c r="C198" s="20"/>
      <c r="D198" s="20"/>
      <c r="E198" s="19"/>
      <c r="F198" s="18"/>
      <c r="G198" s="21"/>
      <c r="H198" s="21"/>
      <c r="I198" s="18"/>
      <c r="J198" s="22"/>
      <c r="K198" s="23"/>
      <c r="L198" s="23"/>
      <c r="M198" s="24"/>
      <c r="N198" s="19"/>
      <c r="O198" s="25" t="str">
        <f aca="false">IF(OR(G198="",H198=""),"",H198-G198)</f>
        <v/>
      </c>
      <c r="P198" s="26" t="str">
        <f aca="false">IF(COUNTA(A198:N198)=0,"",IF(B198="","Falta el nombre",IF(C198="","Falta la cédula",IF(LEN(C198)&lt;&gt;10,"La cédula debe tener 10 dígitos",IF(F198="","Falta el tipo de plan",IF(G198="","Falta la fecha de inicio",IF(H198="","Falta la fecha de vencimiento",IF(O198&lt;=0,"El vencimiento debe ser posterior al inicio",IF(AND(F198&lt;&gt;"DIARIO",O198&lt;21),"Duración muy corta: revisar fechas",IF(O198&gt;400,"Duración mayor a 400 días: revisar fechas",IF(I198="","Falta la forma de pago",IF(L198="","Falta el monto cobrado","OK"))))))))))))</f>
        <v/>
      </c>
    </row>
    <row r="199" customFormat="false" ht="15" hidden="false" customHeight="false" outlineLevel="0" collapsed="false">
      <c r="A199" s="18"/>
      <c r="B199" s="19"/>
      <c r="C199" s="20"/>
      <c r="D199" s="20"/>
      <c r="E199" s="19"/>
      <c r="F199" s="18"/>
      <c r="G199" s="21"/>
      <c r="H199" s="21"/>
      <c r="I199" s="18"/>
      <c r="J199" s="22"/>
      <c r="K199" s="23"/>
      <c r="L199" s="23"/>
      <c r="M199" s="24"/>
      <c r="N199" s="19"/>
      <c r="O199" s="25" t="str">
        <f aca="false">IF(OR(G199="",H199=""),"",H199-G199)</f>
        <v/>
      </c>
      <c r="P199" s="26" t="str">
        <f aca="false">IF(COUNTA(A199:N199)=0,"",IF(B199="","Falta el nombre",IF(C199="","Falta la cédula",IF(LEN(C199)&lt;&gt;10,"La cédula debe tener 10 dígitos",IF(F199="","Falta el tipo de plan",IF(G199="","Falta la fecha de inicio",IF(H199="","Falta la fecha de vencimiento",IF(O199&lt;=0,"El vencimiento debe ser posterior al inicio",IF(AND(F199&lt;&gt;"DIARIO",O199&lt;21),"Duración muy corta: revisar fechas",IF(O199&gt;400,"Duración mayor a 400 días: revisar fechas",IF(I199="","Falta la forma de pago",IF(L199="","Falta el monto cobrado","OK"))))))))))))</f>
        <v/>
      </c>
    </row>
    <row r="200" customFormat="false" ht="15" hidden="false" customHeight="false" outlineLevel="0" collapsed="false">
      <c r="A200" s="18"/>
      <c r="B200" s="19"/>
      <c r="C200" s="20"/>
      <c r="D200" s="20"/>
      <c r="E200" s="19"/>
      <c r="F200" s="18"/>
      <c r="G200" s="21"/>
      <c r="H200" s="21"/>
      <c r="I200" s="18"/>
      <c r="J200" s="22"/>
      <c r="K200" s="23"/>
      <c r="L200" s="23"/>
      <c r="M200" s="24"/>
      <c r="N200" s="19"/>
      <c r="O200" s="25" t="str">
        <f aca="false">IF(OR(G200="",H200=""),"",H200-G200)</f>
        <v/>
      </c>
      <c r="P200" s="26" t="str">
        <f aca="false">IF(COUNTA(A200:N200)=0,"",IF(B200="","Falta el nombre",IF(C200="","Falta la cédula",IF(LEN(C200)&lt;&gt;10,"La cédula debe tener 10 dígitos",IF(F200="","Falta el tipo de plan",IF(G200="","Falta la fecha de inicio",IF(H200="","Falta la fecha de vencimiento",IF(O200&lt;=0,"El vencimiento debe ser posterior al inicio",IF(AND(F200&lt;&gt;"DIARIO",O200&lt;21),"Duración muy corta: revisar fechas",IF(O200&gt;400,"Duración mayor a 400 días: revisar fechas",IF(I200="","Falta la forma de pago",IF(L200="","Falta el monto cobrado","OK"))))))))))))</f>
        <v/>
      </c>
    </row>
    <row r="201" customFormat="false" ht="15" hidden="false" customHeight="false" outlineLevel="0" collapsed="false">
      <c r="A201" s="18"/>
      <c r="B201" s="19"/>
      <c r="C201" s="20"/>
      <c r="D201" s="20"/>
      <c r="E201" s="19"/>
      <c r="F201" s="18"/>
      <c r="G201" s="21"/>
      <c r="H201" s="21"/>
      <c r="I201" s="18"/>
      <c r="J201" s="22"/>
      <c r="K201" s="23"/>
      <c r="L201" s="23"/>
      <c r="M201" s="24"/>
      <c r="N201" s="19"/>
      <c r="O201" s="25" t="str">
        <f aca="false">IF(OR(G201="",H201=""),"",H201-G201)</f>
        <v/>
      </c>
      <c r="P201" s="26" t="str">
        <f aca="false">IF(COUNTA(A201:N201)=0,"",IF(B201="","Falta el nombre",IF(C201="","Falta la cédula",IF(LEN(C201)&lt;&gt;10,"La cédula debe tener 10 dígitos",IF(F201="","Falta el tipo de plan",IF(G201="","Falta la fecha de inicio",IF(H201="","Falta la fecha de vencimiento",IF(O201&lt;=0,"El vencimiento debe ser posterior al inicio",IF(AND(F201&lt;&gt;"DIARIO",O201&lt;21),"Duración muy corta: revisar fechas",IF(O201&gt;400,"Duración mayor a 400 días: revisar fechas",IF(I201="","Falta la forma de pago",IF(L201="","Falta el monto cobrado","OK"))))))))))))</f>
        <v/>
      </c>
    </row>
    <row r="202" customFormat="false" ht="15" hidden="false" customHeight="false" outlineLevel="0" collapsed="false">
      <c r="A202" s="18"/>
      <c r="B202" s="19"/>
      <c r="C202" s="20"/>
      <c r="D202" s="20"/>
      <c r="E202" s="19"/>
      <c r="F202" s="18"/>
      <c r="G202" s="21"/>
      <c r="H202" s="21"/>
      <c r="I202" s="18"/>
      <c r="J202" s="22"/>
      <c r="K202" s="23"/>
      <c r="L202" s="23"/>
      <c r="M202" s="24"/>
      <c r="N202" s="19"/>
      <c r="O202" s="25" t="str">
        <f aca="false">IF(OR(G202="",H202=""),"",H202-G202)</f>
        <v/>
      </c>
      <c r="P202" s="26" t="str">
        <f aca="false">IF(COUNTA(A202:N202)=0,"",IF(B202="","Falta el nombre",IF(C202="","Falta la cédula",IF(LEN(C202)&lt;&gt;10,"La cédula debe tener 10 dígitos",IF(F202="","Falta el tipo de plan",IF(G202="","Falta la fecha de inicio",IF(H202="","Falta la fecha de vencimiento",IF(O202&lt;=0,"El vencimiento debe ser posterior al inicio",IF(AND(F202&lt;&gt;"DIARIO",O202&lt;21),"Duración muy corta: revisar fechas",IF(O202&gt;400,"Duración mayor a 400 días: revisar fechas",IF(I202="","Falta la forma de pago",IF(L202="","Falta el monto cobrado","OK"))))))))))))</f>
        <v/>
      </c>
    </row>
    <row r="203" customFormat="false" ht="15" hidden="false" customHeight="false" outlineLevel="0" collapsed="false">
      <c r="A203" s="18"/>
      <c r="B203" s="19"/>
      <c r="C203" s="20"/>
      <c r="D203" s="20"/>
      <c r="E203" s="19"/>
      <c r="F203" s="18"/>
      <c r="G203" s="21"/>
      <c r="H203" s="21"/>
      <c r="I203" s="18"/>
      <c r="J203" s="22"/>
      <c r="K203" s="23"/>
      <c r="L203" s="23"/>
      <c r="M203" s="24"/>
      <c r="N203" s="19"/>
      <c r="O203" s="25" t="str">
        <f aca="false">IF(OR(G203="",H203=""),"",H203-G203)</f>
        <v/>
      </c>
      <c r="P203" s="26" t="str">
        <f aca="false">IF(COUNTA(A203:N203)=0,"",IF(B203="","Falta el nombre",IF(C203="","Falta la cédula",IF(LEN(C203)&lt;&gt;10,"La cédula debe tener 10 dígitos",IF(F203="","Falta el tipo de plan",IF(G203="","Falta la fecha de inicio",IF(H203="","Falta la fecha de vencimiento",IF(O203&lt;=0,"El vencimiento debe ser posterior al inicio",IF(AND(F203&lt;&gt;"DIARIO",O203&lt;21),"Duración muy corta: revisar fechas",IF(O203&gt;400,"Duración mayor a 400 días: revisar fechas",IF(I203="","Falta la forma de pago",IF(L203="","Falta el monto cobrado","OK"))))))))))))</f>
        <v/>
      </c>
    </row>
    <row r="204" customFormat="false" ht="15" hidden="false" customHeight="false" outlineLevel="0" collapsed="false">
      <c r="A204" s="18"/>
      <c r="B204" s="19"/>
      <c r="C204" s="20"/>
      <c r="D204" s="20"/>
      <c r="E204" s="19"/>
      <c r="F204" s="18"/>
      <c r="G204" s="21"/>
      <c r="H204" s="21"/>
      <c r="I204" s="18"/>
      <c r="J204" s="22"/>
      <c r="K204" s="23"/>
      <c r="L204" s="23"/>
      <c r="M204" s="24"/>
      <c r="N204" s="19"/>
      <c r="O204" s="25" t="str">
        <f aca="false">IF(OR(G204="",H204=""),"",H204-G204)</f>
        <v/>
      </c>
      <c r="P204" s="26" t="str">
        <f aca="false">IF(COUNTA(A204:N204)=0,"",IF(B204="","Falta el nombre",IF(C204="","Falta la cédula",IF(LEN(C204)&lt;&gt;10,"La cédula debe tener 10 dígitos",IF(F204="","Falta el tipo de plan",IF(G204="","Falta la fecha de inicio",IF(H204="","Falta la fecha de vencimiento",IF(O204&lt;=0,"El vencimiento debe ser posterior al inicio",IF(AND(F204&lt;&gt;"DIARIO",O204&lt;21),"Duración muy corta: revisar fechas",IF(O204&gt;400,"Duración mayor a 400 días: revisar fechas",IF(I204="","Falta la forma de pago",IF(L204="","Falta el monto cobrado","OK"))))))))))))</f>
        <v/>
      </c>
    </row>
    <row r="205" customFormat="false" ht="15" hidden="false" customHeight="false" outlineLevel="0" collapsed="false">
      <c r="A205" s="18"/>
      <c r="B205" s="19"/>
      <c r="C205" s="20"/>
      <c r="D205" s="20"/>
      <c r="E205" s="19"/>
      <c r="F205" s="18"/>
      <c r="G205" s="21"/>
      <c r="H205" s="21"/>
      <c r="I205" s="18"/>
      <c r="J205" s="22"/>
      <c r="K205" s="23"/>
      <c r="L205" s="23"/>
      <c r="M205" s="24"/>
      <c r="N205" s="19"/>
      <c r="O205" s="25" t="str">
        <f aca="false">IF(OR(G205="",H205=""),"",H205-G205)</f>
        <v/>
      </c>
      <c r="P205" s="26" t="str">
        <f aca="false">IF(COUNTA(A205:N205)=0,"",IF(B205="","Falta el nombre",IF(C205="","Falta la cédula",IF(LEN(C205)&lt;&gt;10,"La cédula debe tener 10 dígitos",IF(F205="","Falta el tipo de plan",IF(G205="","Falta la fecha de inicio",IF(H205="","Falta la fecha de vencimiento",IF(O205&lt;=0,"El vencimiento debe ser posterior al inicio",IF(AND(F205&lt;&gt;"DIARIO",O205&lt;21),"Duración muy corta: revisar fechas",IF(O205&gt;400,"Duración mayor a 400 días: revisar fechas",IF(I205="","Falta la forma de pago",IF(L205="","Falta el monto cobrado","OK"))))))))))))</f>
        <v/>
      </c>
    </row>
    <row r="206" customFormat="false" ht="15" hidden="false" customHeight="false" outlineLevel="0" collapsed="false">
      <c r="A206" s="18"/>
      <c r="B206" s="19"/>
      <c r="C206" s="20"/>
      <c r="D206" s="20"/>
      <c r="E206" s="19"/>
      <c r="F206" s="18"/>
      <c r="G206" s="21"/>
      <c r="H206" s="21"/>
      <c r="I206" s="18"/>
      <c r="J206" s="22"/>
      <c r="K206" s="23"/>
      <c r="L206" s="23"/>
      <c r="M206" s="24"/>
      <c r="N206" s="19"/>
      <c r="O206" s="25" t="str">
        <f aca="false">IF(OR(G206="",H206=""),"",H206-G206)</f>
        <v/>
      </c>
      <c r="P206" s="26" t="str">
        <f aca="false">IF(COUNTA(A206:N206)=0,"",IF(B206="","Falta el nombre",IF(C206="","Falta la cédula",IF(LEN(C206)&lt;&gt;10,"La cédula debe tener 10 dígitos",IF(F206="","Falta el tipo de plan",IF(G206="","Falta la fecha de inicio",IF(H206="","Falta la fecha de vencimiento",IF(O206&lt;=0,"El vencimiento debe ser posterior al inicio",IF(AND(F206&lt;&gt;"DIARIO",O206&lt;21),"Duración muy corta: revisar fechas",IF(O206&gt;400,"Duración mayor a 400 días: revisar fechas",IF(I206="","Falta la forma de pago",IF(L206="","Falta el monto cobrado","OK"))))))))))))</f>
        <v/>
      </c>
    </row>
    <row r="207" customFormat="false" ht="15" hidden="false" customHeight="false" outlineLevel="0" collapsed="false">
      <c r="A207" s="18"/>
      <c r="B207" s="19"/>
      <c r="C207" s="20"/>
      <c r="D207" s="20"/>
      <c r="E207" s="19"/>
      <c r="F207" s="18"/>
      <c r="G207" s="21"/>
      <c r="H207" s="21"/>
      <c r="I207" s="18"/>
      <c r="J207" s="22"/>
      <c r="K207" s="23"/>
      <c r="L207" s="23"/>
      <c r="M207" s="24"/>
      <c r="N207" s="19"/>
      <c r="O207" s="25" t="str">
        <f aca="false">IF(OR(G207="",H207=""),"",H207-G207)</f>
        <v/>
      </c>
      <c r="P207" s="26" t="str">
        <f aca="false">IF(COUNTA(A207:N207)=0,"",IF(B207="","Falta el nombre",IF(C207="","Falta la cédula",IF(LEN(C207)&lt;&gt;10,"La cédula debe tener 10 dígitos",IF(F207="","Falta el tipo de plan",IF(G207="","Falta la fecha de inicio",IF(H207="","Falta la fecha de vencimiento",IF(O207&lt;=0,"El vencimiento debe ser posterior al inicio",IF(AND(F207&lt;&gt;"DIARIO",O207&lt;21),"Duración muy corta: revisar fechas",IF(O207&gt;400,"Duración mayor a 400 días: revisar fechas",IF(I207="","Falta la forma de pago",IF(L207="","Falta el monto cobrado","OK"))))))))))))</f>
        <v/>
      </c>
    </row>
    <row r="208" customFormat="false" ht="15" hidden="false" customHeight="false" outlineLevel="0" collapsed="false">
      <c r="A208" s="18"/>
      <c r="B208" s="19"/>
      <c r="C208" s="20"/>
      <c r="D208" s="20"/>
      <c r="E208" s="19"/>
      <c r="F208" s="18"/>
      <c r="G208" s="21"/>
      <c r="H208" s="21"/>
      <c r="I208" s="18"/>
      <c r="J208" s="22"/>
      <c r="K208" s="23"/>
      <c r="L208" s="23"/>
      <c r="M208" s="24"/>
      <c r="N208" s="19"/>
      <c r="O208" s="25" t="str">
        <f aca="false">IF(OR(G208="",H208=""),"",H208-G208)</f>
        <v/>
      </c>
      <c r="P208" s="26" t="str">
        <f aca="false">IF(COUNTA(A208:N208)=0,"",IF(B208="","Falta el nombre",IF(C208="","Falta la cédula",IF(LEN(C208)&lt;&gt;10,"La cédula debe tener 10 dígitos",IF(F208="","Falta el tipo de plan",IF(G208="","Falta la fecha de inicio",IF(H208="","Falta la fecha de vencimiento",IF(O208&lt;=0,"El vencimiento debe ser posterior al inicio",IF(AND(F208&lt;&gt;"DIARIO",O208&lt;21),"Duración muy corta: revisar fechas",IF(O208&gt;400,"Duración mayor a 400 días: revisar fechas",IF(I208="","Falta la forma de pago",IF(L208="","Falta el monto cobrado","OK"))))))))))))</f>
        <v/>
      </c>
    </row>
    <row r="209" customFormat="false" ht="15" hidden="false" customHeight="false" outlineLevel="0" collapsed="false">
      <c r="A209" s="18"/>
      <c r="B209" s="19"/>
      <c r="C209" s="20"/>
      <c r="D209" s="20"/>
      <c r="E209" s="19"/>
      <c r="F209" s="18"/>
      <c r="G209" s="21"/>
      <c r="H209" s="21"/>
      <c r="I209" s="18"/>
      <c r="J209" s="22"/>
      <c r="K209" s="23"/>
      <c r="L209" s="23"/>
      <c r="M209" s="24"/>
      <c r="N209" s="19"/>
      <c r="O209" s="25" t="str">
        <f aca="false">IF(OR(G209="",H209=""),"",H209-G209)</f>
        <v/>
      </c>
      <c r="P209" s="26" t="str">
        <f aca="false">IF(COUNTA(A209:N209)=0,"",IF(B209="","Falta el nombre",IF(C209="","Falta la cédula",IF(LEN(C209)&lt;&gt;10,"La cédula debe tener 10 dígitos",IF(F209="","Falta el tipo de plan",IF(G209="","Falta la fecha de inicio",IF(H209="","Falta la fecha de vencimiento",IF(O209&lt;=0,"El vencimiento debe ser posterior al inicio",IF(AND(F209&lt;&gt;"DIARIO",O209&lt;21),"Duración muy corta: revisar fechas",IF(O209&gt;400,"Duración mayor a 400 días: revisar fechas",IF(I209="","Falta la forma de pago",IF(L209="","Falta el monto cobrado","OK"))))))))))))</f>
        <v/>
      </c>
    </row>
    <row r="210" customFormat="false" ht="15" hidden="false" customHeight="false" outlineLevel="0" collapsed="false">
      <c r="A210" s="18"/>
      <c r="B210" s="19"/>
      <c r="C210" s="20"/>
      <c r="D210" s="20"/>
      <c r="E210" s="19"/>
      <c r="F210" s="18"/>
      <c r="G210" s="21"/>
      <c r="H210" s="21"/>
      <c r="I210" s="18"/>
      <c r="J210" s="22"/>
      <c r="K210" s="23"/>
      <c r="L210" s="23"/>
      <c r="M210" s="24"/>
      <c r="N210" s="19"/>
      <c r="O210" s="25" t="str">
        <f aca="false">IF(OR(G210="",H210=""),"",H210-G210)</f>
        <v/>
      </c>
      <c r="P210" s="26" t="str">
        <f aca="false">IF(COUNTA(A210:N210)=0,"",IF(B210="","Falta el nombre",IF(C210="","Falta la cédula",IF(LEN(C210)&lt;&gt;10,"La cédula debe tener 10 dígitos",IF(F210="","Falta el tipo de plan",IF(G210="","Falta la fecha de inicio",IF(H210="","Falta la fecha de vencimiento",IF(O210&lt;=0,"El vencimiento debe ser posterior al inicio",IF(AND(F210&lt;&gt;"DIARIO",O210&lt;21),"Duración muy corta: revisar fechas",IF(O210&gt;400,"Duración mayor a 400 días: revisar fechas",IF(I210="","Falta la forma de pago",IF(L210="","Falta el monto cobrado","OK"))))))))))))</f>
        <v/>
      </c>
    </row>
    <row r="211" customFormat="false" ht="15" hidden="false" customHeight="false" outlineLevel="0" collapsed="false">
      <c r="A211" s="18"/>
      <c r="B211" s="19"/>
      <c r="C211" s="20"/>
      <c r="D211" s="20"/>
      <c r="E211" s="19"/>
      <c r="F211" s="18"/>
      <c r="G211" s="21"/>
      <c r="H211" s="21"/>
      <c r="I211" s="18"/>
      <c r="J211" s="22"/>
      <c r="K211" s="23"/>
      <c r="L211" s="23"/>
      <c r="M211" s="24"/>
      <c r="N211" s="19"/>
      <c r="O211" s="25" t="str">
        <f aca="false">IF(OR(G211="",H211=""),"",H211-G211)</f>
        <v/>
      </c>
      <c r="P211" s="26" t="str">
        <f aca="false">IF(COUNTA(A211:N211)=0,"",IF(B211="","Falta el nombre",IF(C211="","Falta la cédula",IF(LEN(C211)&lt;&gt;10,"La cédula debe tener 10 dígitos",IF(F211="","Falta el tipo de plan",IF(G211="","Falta la fecha de inicio",IF(H211="","Falta la fecha de vencimiento",IF(O211&lt;=0,"El vencimiento debe ser posterior al inicio",IF(AND(F211&lt;&gt;"DIARIO",O211&lt;21),"Duración muy corta: revisar fechas",IF(O211&gt;400,"Duración mayor a 400 días: revisar fechas",IF(I211="","Falta la forma de pago",IF(L211="","Falta el monto cobrado","OK"))))))))))))</f>
        <v/>
      </c>
    </row>
    <row r="212" customFormat="false" ht="15" hidden="false" customHeight="false" outlineLevel="0" collapsed="false">
      <c r="A212" s="18"/>
      <c r="B212" s="19"/>
      <c r="C212" s="20"/>
      <c r="D212" s="20"/>
      <c r="E212" s="19"/>
      <c r="F212" s="18"/>
      <c r="G212" s="21"/>
      <c r="H212" s="21"/>
      <c r="I212" s="18"/>
      <c r="J212" s="22"/>
      <c r="K212" s="23"/>
      <c r="L212" s="23"/>
      <c r="M212" s="24"/>
      <c r="N212" s="19"/>
      <c r="O212" s="25" t="str">
        <f aca="false">IF(OR(G212="",H212=""),"",H212-G212)</f>
        <v/>
      </c>
      <c r="P212" s="26" t="str">
        <f aca="false">IF(COUNTA(A212:N212)=0,"",IF(B212="","Falta el nombre",IF(C212="","Falta la cédula",IF(LEN(C212)&lt;&gt;10,"La cédula debe tener 10 dígitos",IF(F212="","Falta el tipo de plan",IF(G212="","Falta la fecha de inicio",IF(H212="","Falta la fecha de vencimiento",IF(O212&lt;=0,"El vencimiento debe ser posterior al inicio",IF(AND(F212&lt;&gt;"DIARIO",O212&lt;21),"Duración muy corta: revisar fechas",IF(O212&gt;400,"Duración mayor a 400 días: revisar fechas",IF(I212="","Falta la forma de pago",IF(L212="","Falta el monto cobrado","OK"))))))))))))</f>
        <v/>
      </c>
    </row>
    <row r="213" customFormat="false" ht="15" hidden="false" customHeight="false" outlineLevel="0" collapsed="false">
      <c r="A213" s="18"/>
      <c r="B213" s="19"/>
      <c r="C213" s="20"/>
      <c r="D213" s="20"/>
      <c r="E213" s="19"/>
      <c r="F213" s="18"/>
      <c r="G213" s="21"/>
      <c r="H213" s="21"/>
      <c r="I213" s="18"/>
      <c r="J213" s="22"/>
      <c r="K213" s="23"/>
      <c r="L213" s="23"/>
      <c r="M213" s="24"/>
      <c r="N213" s="19"/>
      <c r="O213" s="25" t="str">
        <f aca="false">IF(OR(G213="",H213=""),"",H213-G213)</f>
        <v/>
      </c>
      <c r="P213" s="26" t="str">
        <f aca="false">IF(COUNTA(A213:N213)=0,"",IF(B213="","Falta el nombre",IF(C213="","Falta la cédula",IF(LEN(C213)&lt;&gt;10,"La cédula debe tener 10 dígitos",IF(F213="","Falta el tipo de plan",IF(G213="","Falta la fecha de inicio",IF(H213="","Falta la fecha de vencimiento",IF(O213&lt;=0,"El vencimiento debe ser posterior al inicio",IF(AND(F213&lt;&gt;"DIARIO",O213&lt;21),"Duración muy corta: revisar fechas",IF(O213&gt;400,"Duración mayor a 400 días: revisar fechas",IF(I213="","Falta la forma de pago",IF(L213="","Falta el monto cobrado","OK"))))))))))))</f>
        <v/>
      </c>
    </row>
    <row r="214" customFormat="false" ht="15" hidden="false" customHeight="false" outlineLevel="0" collapsed="false">
      <c r="A214" s="18"/>
      <c r="B214" s="19"/>
      <c r="C214" s="20"/>
      <c r="D214" s="20"/>
      <c r="E214" s="19"/>
      <c r="F214" s="18"/>
      <c r="G214" s="21"/>
      <c r="H214" s="21"/>
      <c r="I214" s="18"/>
      <c r="J214" s="22"/>
      <c r="K214" s="23"/>
      <c r="L214" s="23"/>
      <c r="M214" s="24"/>
      <c r="N214" s="19"/>
      <c r="O214" s="25" t="str">
        <f aca="false">IF(OR(G214="",H214=""),"",H214-G214)</f>
        <v/>
      </c>
      <c r="P214" s="26" t="str">
        <f aca="false">IF(COUNTA(A214:N214)=0,"",IF(B214="","Falta el nombre",IF(C214="","Falta la cédula",IF(LEN(C214)&lt;&gt;10,"La cédula debe tener 10 dígitos",IF(F214="","Falta el tipo de plan",IF(G214="","Falta la fecha de inicio",IF(H214="","Falta la fecha de vencimiento",IF(O214&lt;=0,"El vencimiento debe ser posterior al inicio",IF(AND(F214&lt;&gt;"DIARIO",O214&lt;21),"Duración muy corta: revisar fechas",IF(O214&gt;400,"Duración mayor a 400 días: revisar fechas",IF(I214="","Falta la forma de pago",IF(L214="","Falta el monto cobrado","OK"))))))))))))</f>
        <v/>
      </c>
    </row>
    <row r="215" customFormat="false" ht="15" hidden="false" customHeight="false" outlineLevel="0" collapsed="false">
      <c r="A215" s="18"/>
      <c r="B215" s="19"/>
      <c r="C215" s="20"/>
      <c r="D215" s="20"/>
      <c r="E215" s="19"/>
      <c r="F215" s="18"/>
      <c r="G215" s="21"/>
      <c r="H215" s="21"/>
      <c r="I215" s="18"/>
      <c r="J215" s="22"/>
      <c r="K215" s="23"/>
      <c r="L215" s="23"/>
      <c r="M215" s="24"/>
      <c r="N215" s="19"/>
      <c r="O215" s="25" t="str">
        <f aca="false">IF(OR(G215="",H215=""),"",H215-G215)</f>
        <v/>
      </c>
      <c r="P215" s="26" t="str">
        <f aca="false">IF(COUNTA(A215:N215)=0,"",IF(B215="","Falta el nombre",IF(C215="","Falta la cédula",IF(LEN(C215)&lt;&gt;10,"La cédula debe tener 10 dígitos",IF(F215="","Falta el tipo de plan",IF(G215="","Falta la fecha de inicio",IF(H215="","Falta la fecha de vencimiento",IF(O215&lt;=0,"El vencimiento debe ser posterior al inicio",IF(AND(F215&lt;&gt;"DIARIO",O215&lt;21),"Duración muy corta: revisar fechas",IF(O215&gt;400,"Duración mayor a 400 días: revisar fechas",IF(I215="","Falta la forma de pago",IF(L215="","Falta el monto cobrado","OK"))))))))))))</f>
        <v/>
      </c>
    </row>
    <row r="216" customFormat="false" ht="15" hidden="false" customHeight="false" outlineLevel="0" collapsed="false">
      <c r="A216" s="18"/>
      <c r="B216" s="19"/>
      <c r="C216" s="20"/>
      <c r="D216" s="20"/>
      <c r="E216" s="19"/>
      <c r="F216" s="18"/>
      <c r="G216" s="21"/>
      <c r="H216" s="21"/>
      <c r="I216" s="18"/>
      <c r="J216" s="22"/>
      <c r="K216" s="23"/>
      <c r="L216" s="23"/>
      <c r="M216" s="24"/>
      <c r="N216" s="19"/>
      <c r="O216" s="25" t="str">
        <f aca="false">IF(OR(G216="",H216=""),"",H216-G216)</f>
        <v/>
      </c>
      <c r="P216" s="26" t="str">
        <f aca="false">IF(COUNTA(A216:N216)=0,"",IF(B216="","Falta el nombre",IF(C216="","Falta la cédula",IF(LEN(C216)&lt;&gt;10,"La cédula debe tener 10 dígitos",IF(F216="","Falta el tipo de plan",IF(G216="","Falta la fecha de inicio",IF(H216="","Falta la fecha de vencimiento",IF(O216&lt;=0,"El vencimiento debe ser posterior al inicio",IF(AND(F216&lt;&gt;"DIARIO",O216&lt;21),"Duración muy corta: revisar fechas",IF(O216&gt;400,"Duración mayor a 400 días: revisar fechas",IF(I216="","Falta la forma de pago",IF(L216="","Falta el monto cobrado","OK"))))))))))))</f>
        <v/>
      </c>
    </row>
    <row r="217" customFormat="false" ht="15" hidden="false" customHeight="false" outlineLevel="0" collapsed="false">
      <c r="A217" s="18"/>
      <c r="B217" s="19"/>
      <c r="C217" s="20"/>
      <c r="D217" s="20"/>
      <c r="E217" s="19"/>
      <c r="F217" s="18"/>
      <c r="G217" s="21"/>
      <c r="H217" s="21"/>
      <c r="I217" s="18"/>
      <c r="J217" s="22"/>
      <c r="K217" s="23"/>
      <c r="L217" s="23"/>
      <c r="M217" s="24"/>
      <c r="N217" s="19"/>
      <c r="O217" s="25" t="str">
        <f aca="false">IF(OR(G217="",H217=""),"",H217-G217)</f>
        <v/>
      </c>
      <c r="P217" s="26" t="str">
        <f aca="false">IF(COUNTA(A217:N217)=0,"",IF(B217="","Falta el nombre",IF(C217="","Falta la cédula",IF(LEN(C217)&lt;&gt;10,"La cédula debe tener 10 dígitos",IF(F217="","Falta el tipo de plan",IF(G217="","Falta la fecha de inicio",IF(H217="","Falta la fecha de vencimiento",IF(O217&lt;=0,"El vencimiento debe ser posterior al inicio",IF(AND(F217&lt;&gt;"DIARIO",O217&lt;21),"Duración muy corta: revisar fechas",IF(O217&gt;400,"Duración mayor a 400 días: revisar fechas",IF(I217="","Falta la forma de pago",IF(L217="","Falta el monto cobrado","OK"))))))))))))</f>
        <v/>
      </c>
    </row>
    <row r="218" customFormat="false" ht="15" hidden="false" customHeight="false" outlineLevel="0" collapsed="false">
      <c r="A218" s="18"/>
      <c r="B218" s="19"/>
      <c r="C218" s="20"/>
      <c r="D218" s="20"/>
      <c r="E218" s="19"/>
      <c r="F218" s="18"/>
      <c r="G218" s="21"/>
      <c r="H218" s="21"/>
      <c r="I218" s="18"/>
      <c r="J218" s="22"/>
      <c r="K218" s="23"/>
      <c r="L218" s="23"/>
      <c r="M218" s="24"/>
      <c r="N218" s="19"/>
      <c r="O218" s="25" t="str">
        <f aca="false">IF(OR(G218="",H218=""),"",H218-G218)</f>
        <v/>
      </c>
      <c r="P218" s="26" t="str">
        <f aca="false">IF(COUNTA(A218:N218)=0,"",IF(B218="","Falta el nombre",IF(C218="","Falta la cédula",IF(LEN(C218)&lt;&gt;10,"La cédula debe tener 10 dígitos",IF(F218="","Falta el tipo de plan",IF(G218="","Falta la fecha de inicio",IF(H218="","Falta la fecha de vencimiento",IF(O218&lt;=0,"El vencimiento debe ser posterior al inicio",IF(AND(F218&lt;&gt;"DIARIO",O218&lt;21),"Duración muy corta: revisar fechas",IF(O218&gt;400,"Duración mayor a 400 días: revisar fechas",IF(I218="","Falta la forma de pago",IF(L218="","Falta el monto cobrado","OK"))))))))))))</f>
        <v/>
      </c>
    </row>
    <row r="219" customFormat="false" ht="15" hidden="false" customHeight="false" outlineLevel="0" collapsed="false">
      <c r="A219" s="18"/>
      <c r="B219" s="19"/>
      <c r="C219" s="20"/>
      <c r="D219" s="20"/>
      <c r="E219" s="19"/>
      <c r="F219" s="18"/>
      <c r="G219" s="21"/>
      <c r="H219" s="21"/>
      <c r="I219" s="18"/>
      <c r="J219" s="22"/>
      <c r="K219" s="23"/>
      <c r="L219" s="23"/>
      <c r="M219" s="24"/>
      <c r="N219" s="19"/>
      <c r="O219" s="25" t="str">
        <f aca="false">IF(OR(G219="",H219=""),"",H219-G219)</f>
        <v/>
      </c>
      <c r="P219" s="26" t="str">
        <f aca="false">IF(COUNTA(A219:N219)=0,"",IF(B219="","Falta el nombre",IF(C219="","Falta la cédula",IF(LEN(C219)&lt;&gt;10,"La cédula debe tener 10 dígitos",IF(F219="","Falta el tipo de plan",IF(G219="","Falta la fecha de inicio",IF(H219="","Falta la fecha de vencimiento",IF(O219&lt;=0,"El vencimiento debe ser posterior al inicio",IF(AND(F219&lt;&gt;"DIARIO",O219&lt;21),"Duración muy corta: revisar fechas",IF(O219&gt;400,"Duración mayor a 400 días: revisar fechas",IF(I219="","Falta la forma de pago",IF(L219="","Falta el monto cobrado","OK"))))))))))))</f>
        <v/>
      </c>
    </row>
    <row r="220" customFormat="false" ht="15" hidden="false" customHeight="false" outlineLevel="0" collapsed="false">
      <c r="A220" s="18"/>
      <c r="B220" s="19"/>
      <c r="C220" s="20"/>
      <c r="D220" s="20"/>
      <c r="E220" s="19"/>
      <c r="F220" s="18"/>
      <c r="G220" s="21"/>
      <c r="H220" s="21"/>
      <c r="I220" s="18"/>
      <c r="J220" s="22"/>
      <c r="K220" s="23"/>
      <c r="L220" s="23"/>
      <c r="M220" s="24"/>
      <c r="N220" s="19"/>
      <c r="O220" s="25" t="str">
        <f aca="false">IF(OR(G220="",H220=""),"",H220-G220)</f>
        <v/>
      </c>
      <c r="P220" s="26" t="str">
        <f aca="false">IF(COUNTA(A220:N220)=0,"",IF(B220="","Falta el nombre",IF(C220="","Falta la cédula",IF(LEN(C220)&lt;&gt;10,"La cédula debe tener 10 dígitos",IF(F220="","Falta el tipo de plan",IF(G220="","Falta la fecha de inicio",IF(H220="","Falta la fecha de vencimiento",IF(O220&lt;=0,"El vencimiento debe ser posterior al inicio",IF(AND(F220&lt;&gt;"DIARIO",O220&lt;21),"Duración muy corta: revisar fechas",IF(O220&gt;400,"Duración mayor a 400 días: revisar fechas",IF(I220="","Falta la forma de pago",IF(L220="","Falta el monto cobrado","OK"))))))))))))</f>
        <v/>
      </c>
    </row>
    <row r="221" customFormat="false" ht="15" hidden="false" customHeight="false" outlineLevel="0" collapsed="false">
      <c r="A221" s="18"/>
      <c r="B221" s="19"/>
      <c r="C221" s="20"/>
      <c r="D221" s="20"/>
      <c r="E221" s="19"/>
      <c r="F221" s="18"/>
      <c r="G221" s="21"/>
      <c r="H221" s="21"/>
      <c r="I221" s="18"/>
      <c r="J221" s="22"/>
      <c r="K221" s="23"/>
      <c r="L221" s="23"/>
      <c r="M221" s="24"/>
      <c r="N221" s="19"/>
      <c r="O221" s="25" t="str">
        <f aca="false">IF(OR(G221="",H221=""),"",H221-G221)</f>
        <v/>
      </c>
      <c r="P221" s="26" t="str">
        <f aca="false">IF(COUNTA(A221:N221)=0,"",IF(B221="","Falta el nombre",IF(C221="","Falta la cédula",IF(LEN(C221)&lt;&gt;10,"La cédula debe tener 10 dígitos",IF(F221="","Falta el tipo de plan",IF(G221="","Falta la fecha de inicio",IF(H221="","Falta la fecha de vencimiento",IF(O221&lt;=0,"El vencimiento debe ser posterior al inicio",IF(AND(F221&lt;&gt;"DIARIO",O221&lt;21),"Duración muy corta: revisar fechas",IF(O221&gt;400,"Duración mayor a 400 días: revisar fechas",IF(I221="","Falta la forma de pago",IF(L221="","Falta el monto cobrado","OK"))))))))))))</f>
        <v/>
      </c>
    </row>
    <row r="222" customFormat="false" ht="15" hidden="false" customHeight="false" outlineLevel="0" collapsed="false">
      <c r="A222" s="18"/>
      <c r="B222" s="19"/>
      <c r="C222" s="20"/>
      <c r="D222" s="20"/>
      <c r="E222" s="19"/>
      <c r="F222" s="18"/>
      <c r="G222" s="21"/>
      <c r="H222" s="21"/>
      <c r="I222" s="18"/>
      <c r="J222" s="22"/>
      <c r="K222" s="23"/>
      <c r="L222" s="23"/>
      <c r="M222" s="24"/>
      <c r="N222" s="19"/>
      <c r="O222" s="25" t="str">
        <f aca="false">IF(OR(G222="",H222=""),"",H222-G222)</f>
        <v/>
      </c>
      <c r="P222" s="26" t="str">
        <f aca="false">IF(COUNTA(A222:N222)=0,"",IF(B222="","Falta el nombre",IF(C222="","Falta la cédula",IF(LEN(C222)&lt;&gt;10,"La cédula debe tener 10 dígitos",IF(F222="","Falta el tipo de plan",IF(G222="","Falta la fecha de inicio",IF(H222="","Falta la fecha de vencimiento",IF(O222&lt;=0,"El vencimiento debe ser posterior al inicio",IF(AND(F222&lt;&gt;"DIARIO",O222&lt;21),"Duración muy corta: revisar fechas",IF(O222&gt;400,"Duración mayor a 400 días: revisar fechas",IF(I222="","Falta la forma de pago",IF(L222="","Falta el monto cobrado","OK"))))))))))))</f>
        <v/>
      </c>
    </row>
    <row r="223" customFormat="false" ht="15" hidden="false" customHeight="false" outlineLevel="0" collapsed="false">
      <c r="A223" s="18"/>
      <c r="B223" s="19"/>
      <c r="C223" s="20"/>
      <c r="D223" s="20"/>
      <c r="E223" s="19"/>
      <c r="F223" s="18"/>
      <c r="G223" s="21"/>
      <c r="H223" s="21"/>
      <c r="I223" s="18"/>
      <c r="J223" s="22"/>
      <c r="K223" s="23"/>
      <c r="L223" s="23"/>
      <c r="M223" s="24"/>
      <c r="N223" s="19"/>
      <c r="O223" s="25" t="str">
        <f aca="false">IF(OR(G223="",H223=""),"",H223-G223)</f>
        <v/>
      </c>
      <c r="P223" s="26" t="str">
        <f aca="false">IF(COUNTA(A223:N223)=0,"",IF(B223="","Falta el nombre",IF(C223="","Falta la cédula",IF(LEN(C223)&lt;&gt;10,"La cédula debe tener 10 dígitos",IF(F223="","Falta el tipo de plan",IF(G223="","Falta la fecha de inicio",IF(H223="","Falta la fecha de vencimiento",IF(O223&lt;=0,"El vencimiento debe ser posterior al inicio",IF(AND(F223&lt;&gt;"DIARIO",O223&lt;21),"Duración muy corta: revisar fechas",IF(O223&gt;400,"Duración mayor a 400 días: revisar fechas",IF(I223="","Falta la forma de pago",IF(L223="","Falta el monto cobrado","OK"))))))))))))</f>
        <v/>
      </c>
    </row>
    <row r="224" customFormat="false" ht="15" hidden="false" customHeight="false" outlineLevel="0" collapsed="false">
      <c r="A224" s="18"/>
      <c r="B224" s="19"/>
      <c r="C224" s="20"/>
      <c r="D224" s="20"/>
      <c r="E224" s="19"/>
      <c r="F224" s="18"/>
      <c r="G224" s="21"/>
      <c r="H224" s="21"/>
      <c r="I224" s="18"/>
      <c r="J224" s="22"/>
      <c r="K224" s="23"/>
      <c r="L224" s="23"/>
      <c r="M224" s="24"/>
      <c r="N224" s="19"/>
      <c r="O224" s="25" t="str">
        <f aca="false">IF(OR(G224="",H224=""),"",H224-G224)</f>
        <v/>
      </c>
      <c r="P224" s="26" t="str">
        <f aca="false">IF(COUNTA(A224:N224)=0,"",IF(B224="","Falta el nombre",IF(C224="","Falta la cédula",IF(LEN(C224)&lt;&gt;10,"La cédula debe tener 10 dígitos",IF(F224="","Falta el tipo de plan",IF(G224="","Falta la fecha de inicio",IF(H224="","Falta la fecha de vencimiento",IF(O224&lt;=0,"El vencimiento debe ser posterior al inicio",IF(AND(F224&lt;&gt;"DIARIO",O224&lt;21),"Duración muy corta: revisar fechas",IF(O224&gt;400,"Duración mayor a 400 días: revisar fechas",IF(I224="","Falta la forma de pago",IF(L224="","Falta el monto cobrado","OK"))))))))))))</f>
        <v/>
      </c>
    </row>
    <row r="225" customFormat="false" ht="15" hidden="false" customHeight="false" outlineLevel="0" collapsed="false">
      <c r="A225" s="18"/>
      <c r="B225" s="19"/>
      <c r="C225" s="20"/>
      <c r="D225" s="20"/>
      <c r="E225" s="19"/>
      <c r="F225" s="18"/>
      <c r="G225" s="21"/>
      <c r="H225" s="21"/>
      <c r="I225" s="18"/>
      <c r="J225" s="22"/>
      <c r="K225" s="23"/>
      <c r="L225" s="23"/>
      <c r="M225" s="24"/>
      <c r="N225" s="19"/>
      <c r="O225" s="25" t="str">
        <f aca="false">IF(OR(G225="",H225=""),"",H225-G225)</f>
        <v/>
      </c>
      <c r="P225" s="26" t="str">
        <f aca="false">IF(COUNTA(A225:N225)=0,"",IF(B225="","Falta el nombre",IF(C225="","Falta la cédula",IF(LEN(C225)&lt;&gt;10,"La cédula debe tener 10 dígitos",IF(F225="","Falta el tipo de plan",IF(G225="","Falta la fecha de inicio",IF(H225="","Falta la fecha de vencimiento",IF(O225&lt;=0,"El vencimiento debe ser posterior al inicio",IF(AND(F225&lt;&gt;"DIARIO",O225&lt;21),"Duración muy corta: revisar fechas",IF(O225&gt;400,"Duración mayor a 400 días: revisar fechas",IF(I225="","Falta la forma de pago",IF(L225="","Falta el monto cobrado","OK"))))))))))))</f>
        <v/>
      </c>
    </row>
    <row r="226" customFormat="false" ht="15" hidden="false" customHeight="false" outlineLevel="0" collapsed="false">
      <c r="A226" s="18"/>
      <c r="B226" s="19"/>
      <c r="C226" s="20"/>
      <c r="D226" s="20"/>
      <c r="E226" s="19"/>
      <c r="F226" s="18"/>
      <c r="G226" s="21"/>
      <c r="H226" s="21"/>
      <c r="I226" s="18"/>
      <c r="J226" s="22"/>
      <c r="K226" s="23"/>
      <c r="L226" s="23"/>
      <c r="M226" s="24"/>
      <c r="N226" s="19"/>
      <c r="O226" s="25" t="str">
        <f aca="false">IF(OR(G226="",H226=""),"",H226-G226)</f>
        <v/>
      </c>
      <c r="P226" s="26" t="str">
        <f aca="false">IF(COUNTA(A226:N226)=0,"",IF(B226="","Falta el nombre",IF(C226="","Falta la cédula",IF(LEN(C226)&lt;&gt;10,"La cédula debe tener 10 dígitos",IF(F226="","Falta el tipo de plan",IF(G226="","Falta la fecha de inicio",IF(H226="","Falta la fecha de vencimiento",IF(O226&lt;=0,"El vencimiento debe ser posterior al inicio",IF(AND(F226&lt;&gt;"DIARIO",O226&lt;21),"Duración muy corta: revisar fechas",IF(O226&gt;400,"Duración mayor a 400 días: revisar fechas",IF(I226="","Falta la forma de pago",IF(L226="","Falta el monto cobrado","OK"))))))))))))</f>
        <v/>
      </c>
    </row>
    <row r="227" customFormat="false" ht="15" hidden="false" customHeight="false" outlineLevel="0" collapsed="false">
      <c r="A227" s="18"/>
      <c r="B227" s="19"/>
      <c r="C227" s="20"/>
      <c r="D227" s="20"/>
      <c r="E227" s="19"/>
      <c r="F227" s="18"/>
      <c r="G227" s="21"/>
      <c r="H227" s="21"/>
      <c r="I227" s="18"/>
      <c r="J227" s="22"/>
      <c r="K227" s="23"/>
      <c r="L227" s="23"/>
      <c r="M227" s="24"/>
      <c r="N227" s="19"/>
      <c r="O227" s="25" t="str">
        <f aca="false">IF(OR(G227="",H227=""),"",H227-G227)</f>
        <v/>
      </c>
      <c r="P227" s="26" t="str">
        <f aca="false">IF(COUNTA(A227:N227)=0,"",IF(B227="","Falta el nombre",IF(C227="","Falta la cédula",IF(LEN(C227)&lt;&gt;10,"La cédula debe tener 10 dígitos",IF(F227="","Falta el tipo de plan",IF(G227="","Falta la fecha de inicio",IF(H227="","Falta la fecha de vencimiento",IF(O227&lt;=0,"El vencimiento debe ser posterior al inicio",IF(AND(F227&lt;&gt;"DIARIO",O227&lt;21),"Duración muy corta: revisar fechas",IF(O227&gt;400,"Duración mayor a 400 días: revisar fechas",IF(I227="","Falta la forma de pago",IF(L227="","Falta el monto cobrado","OK"))))))))))))</f>
        <v/>
      </c>
    </row>
    <row r="228" customFormat="false" ht="15" hidden="false" customHeight="false" outlineLevel="0" collapsed="false">
      <c r="A228" s="18"/>
      <c r="B228" s="19"/>
      <c r="C228" s="20"/>
      <c r="D228" s="20"/>
      <c r="E228" s="19"/>
      <c r="F228" s="18"/>
      <c r="G228" s="21"/>
      <c r="H228" s="21"/>
      <c r="I228" s="18"/>
      <c r="J228" s="22"/>
      <c r="K228" s="23"/>
      <c r="L228" s="23"/>
      <c r="M228" s="24"/>
      <c r="N228" s="19"/>
      <c r="O228" s="25" t="str">
        <f aca="false">IF(OR(G228="",H228=""),"",H228-G228)</f>
        <v/>
      </c>
      <c r="P228" s="26" t="str">
        <f aca="false">IF(COUNTA(A228:N228)=0,"",IF(B228="","Falta el nombre",IF(C228="","Falta la cédula",IF(LEN(C228)&lt;&gt;10,"La cédula debe tener 10 dígitos",IF(F228="","Falta el tipo de plan",IF(G228="","Falta la fecha de inicio",IF(H228="","Falta la fecha de vencimiento",IF(O228&lt;=0,"El vencimiento debe ser posterior al inicio",IF(AND(F228&lt;&gt;"DIARIO",O228&lt;21),"Duración muy corta: revisar fechas",IF(O228&gt;400,"Duración mayor a 400 días: revisar fechas",IF(I228="","Falta la forma de pago",IF(L228="","Falta el monto cobrado","OK"))))))))))))</f>
        <v/>
      </c>
    </row>
    <row r="229" customFormat="false" ht="15" hidden="false" customHeight="false" outlineLevel="0" collapsed="false">
      <c r="A229" s="18"/>
      <c r="B229" s="19"/>
      <c r="C229" s="20"/>
      <c r="D229" s="20"/>
      <c r="E229" s="19"/>
      <c r="F229" s="18"/>
      <c r="G229" s="21"/>
      <c r="H229" s="21"/>
      <c r="I229" s="18"/>
      <c r="J229" s="22"/>
      <c r="K229" s="23"/>
      <c r="L229" s="23"/>
      <c r="M229" s="24"/>
      <c r="N229" s="19"/>
      <c r="O229" s="25" t="str">
        <f aca="false">IF(OR(G229="",H229=""),"",H229-G229)</f>
        <v/>
      </c>
      <c r="P229" s="26" t="str">
        <f aca="false">IF(COUNTA(A229:N229)=0,"",IF(B229="","Falta el nombre",IF(C229="","Falta la cédula",IF(LEN(C229)&lt;&gt;10,"La cédula debe tener 10 dígitos",IF(F229="","Falta el tipo de plan",IF(G229="","Falta la fecha de inicio",IF(H229="","Falta la fecha de vencimiento",IF(O229&lt;=0,"El vencimiento debe ser posterior al inicio",IF(AND(F229&lt;&gt;"DIARIO",O229&lt;21),"Duración muy corta: revisar fechas",IF(O229&gt;400,"Duración mayor a 400 días: revisar fechas",IF(I229="","Falta la forma de pago",IF(L229="","Falta el monto cobrado","OK"))))))))))))</f>
        <v/>
      </c>
    </row>
    <row r="230" customFormat="false" ht="15" hidden="false" customHeight="false" outlineLevel="0" collapsed="false">
      <c r="A230" s="18"/>
      <c r="B230" s="19"/>
      <c r="C230" s="20"/>
      <c r="D230" s="20"/>
      <c r="E230" s="19"/>
      <c r="F230" s="18"/>
      <c r="G230" s="21"/>
      <c r="H230" s="21"/>
      <c r="I230" s="18"/>
      <c r="J230" s="22"/>
      <c r="K230" s="23"/>
      <c r="L230" s="23"/>
      <c r="M230" s="24"/>
      <c r="N230" s="19"/>
      <c r="O230" s="25" t="str">
        <f aca="false">IF(OR(G230="",H230=""),"",H230-G230)</f>
        <v/>
      </c>
      <c r="P230" s="26" t="str">
        <f aca="false">IF(COUNTA(A230:N230)=0,"",IF(B230="","Falta el nombre",IF(C230="","Falta la cédula",IF(LEN(C230)&lt;&gt;10,"La cédula debe tener 10 dígitos",IF(F230="","Falta el tipo de plan",IF(G230="","Falta la fecha de inicio",IF(H230="","Falta la fecha de vencimiento",IF(O230&lt;=0,"El vencimiento debe ser posterior al inicio",IF(AND(F230&lt;&gt;"DIARIO",O230&lt;21),"Duración muy corta: revisar fechas",IF(O230&gt;400,"Duración mayor a 400 días: revisar fechas",IF(I230="","Falta la forma de pago",IF(L230="","Falta el monto cobrado","OK"))))))))))))</f>
        <v/>
      </c>
    </row>
    <row r="231" customFormat="false" ht="15" hidden="false" customHeight="false" outlineLevel="0" collapsed="false">
      <c r="A231" s="18"/>
      <c r="B231" s="19"/>
      <c r="C231" s="20"/>
      <c r="D231" s="20"/>
      <c r="E231" s="19"/>
      <c r="F231" s="18"/>
      <c r="G231" s="21"/>
      <c r="H231" s="21"/>
      <c r="I231" s="18"/>
      <c r="J231" s="22"/>
      <c r="K231" s="23"/>
      <c r="L231" s="23"/>
      <c r="M231" s="24"/>
      <c r="N231" s="19"/>
      <c r="O231" s="25" t="str">
        <f aca="false">IF(OR(G231="",H231=""),"",H231-G231)</f>
        <v/>
      </c>
      <c r="P231" s="26" t="str">
        <f aca="false">IF(COUNTA(A231:N231)=0,"",IF(B231="","Falta el nombre",IF(C231="","Falta la cédula",IF(LEN(C231)&lt;&gt;10,"La cédula debe tener 10 dígitos",IF(F231="","Falta el tipo de plan",IF(G231="","Falta la fecha de inicio",IF(H231="","Falta la fecha de vencimiento",IF(O231&lt;=0,"El vencimiento debe ser posterior al inicio",IF(AND(F231&lt;&gt;"DIARIO",O231&lt;21),"Duración muy corta: revisar fechas",IF(O231&gt;400,"Duración mayor a 400 días: revisar fechas",IF(I231="","Falta la forma de pago",IF(L231="","Falta el monto cobrado","OK"))))))))))))</f>
        <v/>
      </c>
    </row>
    <row r="232" customFormat="false" ht="15" hidden="false" customHeight="false" outlineLevel="0" collapsed="false">
      <c r="A232" s="18"/>
      <c r="B232" s="19"/>
      <c r="C232" s="20"/>
      <c r="D232" s="20"/>
      <c r="E232" s="19"/>
      <c r="F232" s="18"/>
      <c r="G232" s="21"/>
      <c r="H232" s="21"/>
      <c r="I232" s="18"/>
      <c r="J232" s="22"/>
      <c r="K232" s="23"/>
      <c r="L232" s="23"/>
      <c r="M232" s="24"/>
      <c r="N232" s="19"/>
      <c r="O232" s="25" t="str">
        <f aca="false">IF(OR(G232="",H232=""),"",H232-G232)</f>
        <v/>
      </c>
      <c r="P232" s="26" t="str">
        <f aca="false">IF(COUNTA(A232:N232)=0,"",IF(B232="","Falta el nombre",IF(C232="","Falta la cédula",IF(LEN(C232)&lt;&gt;10,"La cédula debe tener 10 dígitos",IF(F232="","Falta el tipo de plan",IF(G232="","Falta la fecha de inicio",IF(H232="","Falta la fecha de vencimiento",IF(O232&lt;=0,"El vencimiento debe ser posterior al inicio",IF(AND(F232&lt;&gt;"DIARIO",O232&lt;21),"Duración muy corta: revisar fechas",IF(O232&gt;400,"Duración mayor a 400 días: revisar fechas",IF(I232="","Falta la forma de pago",IF(L232="","Falta el monto cobrado","OK"))))))))))))</f>
        <v/>
      </c>
    </row>
    <row r="233" customFormat="false" ht="15" hidden="false" customHeight="false" outlineLevel="0" collapsed="false">
      <c r="A233" s="18"/>
      <c r="B233" s="19"/>
      <c r="C233" s="20"/>
      <c r="D233" s="20"/>
      <c r="E233" s="19"/>
      <c r="F233" s="18"/>
      <c r="G233" s="21"/>
      <c r="H233" s="21"/>
      <c r="I233" s="18"/>
      <c r="J233" s="22"/>
      <c r="K233" s="23"/>
      <c r="L233" s="23"/>
      <c r="M233" s="24"/>
      <c r="N233" s="19"/>
      <c r="O233" s="25" t="str">
        <f aca="false">IF(OR(G233="",H233=""),"",H233-G233)</f>
        <v/>
      </c>
      <c r="P233" s="26" t="str">
        <f aca="false">IF(COUNTA(A233:N233)=0,"",IF(B233="","Falta el nombre",IF(C233="","Falta la cédula",IF(LEN(C233)&lt;&gt;10,"La cédula debe tener 10 dígitos",IF(F233="","Falta el tipo de plan",IF(G233="","Falta la fecha de inicio",IF(H233="","Falta la fecha de vencimiento",IF(O233&lt;=0,"El vencimiento debe ser posterior al inicio",IF(AND(F233&lt;&gt;"DIARIO",O233&lt;21),"Duración muy corta: revisar fechas",IF(O233&gt;400,"Duración mayor a 400 días: revisar fechas",IF(I233="","Falta la forma de pago",IF(L233="","Falta el monto cobrado","OK"))))))))))))</f>
        <v/>
      </c>
    </row>
    <row r="234" customFormat="false" ht="15" hidden="false" customHeight="false" outlineLevel="0" collapsed="false">
      <c r="A234" s="18"/>
      <c r="B234" s="19"/>
      <c r="C234" s="20"/>
      <c r="D234" s="20"/>
      <c r="E234" s="19"/>
      <c r="F234" s="18"/>
      <c r="G234" s="21"/>
      <c r="H234" s="21"/>
      <c r="I234" s="18"/>
      <c r="J234" s="22"/>
      <c r="K234" s="23"/>
      <c r="L234" s="23"/>
      <c r="M234" s="24"/>
      <c r="N234" s="19"/>
      <c r="O234" s="25" t="str">
        <f aca="false">IF(OR(G234="",H234=""),"",H234-G234)</f>
        <v/>
      </c>
      <c r="P234" s="26" t="str">
        <f aca="false">IF(COUNTA(A234:N234)=0,"",IF(B234="","Falta el nombre",IF(C234="","Falta la cédula",IF(LEN(C234)&lt;&gt;10,"La cédula debe tener 10 dígitos",IF(F234="","Falta el tipo de plan",IF(G234="","Falta la fecha de inicio",IF(H234="","Falta la fecha de vencimiento",IF(O234&lt;=0,"El vencimiento debe ser posterior al inicio",IF(AND(F234&lt;&gt;"DIARIO",O234&lt;21),"Duración muy corta: revisar fechas",IF(O234&gt;400,"Duración mayor a 400 días: revisar fechas",IF(I234="","Falta la forma de pago",IF(L234="","Falta el monto cobrado","OK"))))))))))))</f>
        <v/>
      </c>
    </row>
    <row r="235" customFormat="false" ht="15" hidden="false" customHeight="false" outlineLevel="0" collapsed="false">
      <c r="A235" s="18"/>
      <c r="B235" s="19"/>
      <c r="C235" s="20"/>
      <c r="D235" s="20"/>
      <c r="E235" s="19"/>
      <c r="F235" s="18"/>
      <c r="G235" s="21"/>
      <c r="H235" s="21"/>
      <c r="I235" s="18"/>
      <c r="J235" s="22"/>
      <c r="K235" s="23"/>
      <c r="L235" s="23"/>
      <c r="M235" s="24"/>
      <c r="N235" s="19"/>
      <c r="O235" s="25" t="str">
        <f aca="false">IF(OR(G235="",H235=""),"",H235-G235)</f>
        <v/>
      </c>
      <c r="P235" s="26" t="str">
        <f aca="false">IF(COUNTA(A235:N235)=0,"",IF(B235="","Falta el nombre",IF(C235="","Falta la cédula",IF(LEN(C235)&lt;&gt;10,"La cédula debe tener 10 dígitos",IF(F235="","Falta el tipo de plan",IF(G235="","Falta la fecha de inicio",IF(H235="","Falta la fecha de vencimiento",IF(O235&lt;=0,"El vencimiento debe ser posterior al inicio",IF(AND(F235&lt;&gt;"DIARIO",O235&lt;21),"Duración muy corta: revisar fechas",IF(O235&gt;400,"Duración mayor a 400 días: revisar fechas",IF(I235="","Falta la forma de pago",IF(L235="","Falta el monto cobrado","OK"))))))))))))</f>
        <v/>
      </c>
    </row>
    <row r="236" customFormat="false" ht="15" hidden="false" customHeight="false" outlineLevel="0" collapsed="false">
      <c r="A236" s="18"/>
      <c r="B236" s="19"/>
      <c r="C236" s="20"/>
      <c r="D236" s="20"/>
      <c r="E236" s="19"/>
      <c r="F236" s="18"/>
      <c r="G236" s="21"/>
      <c r="H236" s="21"/>
      <c r="I236" s="18"/>
      <c r="J236" s="22"/>
      <c r="K236" s="23"/>
      <c r="L236" s="23"/>
      <c r="M236" s="24"/>
      <c r="N236" s="19"/>
      <c r="O236" s="25" t="str">
        <f aca="false">IF(OR(G236="",H236=""),"",H236-G236)</f>
        <v/>
      </c>
      <c r="P236" s="26" t="str">
        <f aca="false">IF(COUNTA(A236:N236)=0,"",IF(B236="","Falta el nombre",IF(C236="","Falta la cédula",IF(LEN(C236)&lt;&gt;10,"La cédula debe tener 10 dígitos",IF(F236="","Falta el tipo de plan",IF(G236="","Falta la fecha de inicio",IF(H236="","Falta la fecha de vencimiento",IF(O236&lt;=0,"El vencimiento debe ser posterior al inicio",IF(AND(F236&lt;&gt;"DIARIO",O236&lt;21),"Duración muy corta: revisar fechas",IF(O236&gt;400,"Duración mayor a 400 días: revisar fechas",IF(I236="","Falta la forma de pago",IF(L236="","Falta el monto cobrado","OK"))))))))))))</f>
        <v/>
      </c>
    </row>
    <row r="237" customFormat="false" ht="15" hidden="false" customHeight="false" outlineLevel="0" collapsed="false">
      <c r="A237" s="18"/>
      <c r="B237" s="19"/>
      <c r="C237" s="20"/>
      <c r="D237" s="20"/>
      <c r="E237" s="19"/>
      <c r="F237" s="18"/>
      <c r="G237" s="21"/>
      <c r="H237" s="21"/>
      <c r="I237" s="18"/>
      <c r="J237" s="22"/>
      <c r="K237" s="23"/>
      <c r="L237" s="23"/>
      <c r="M237" s="24"/>
      <c r="N237" s="19"/>
      <c r="O237" s="25" t="str">
        <f aca="false">IF(OR(G237="",H237=""),"",H237-G237)</f>
        <v/>
      </c>
      <c r="P237" s="26" t="str">
        <f aca="false">IF(COUNTA(A237:N237)=0,"",IF(B237="","Falta el nombre",IF(C237="","Falta la cédula",IF(LEN(C237)&lt;&gt;10,"La cédula debe tener 10 dígitos",IF(F237="","Falta el tipo de plan",IF(G237="","Falta la fecha de inicio",IF(H237="","Falta la fecha de vencimiento",IF(O237&lt;=0,"El vencimiento debe ser posterior al inicio",IF(AND(F237&lt;&gt;"DIARIO",O237&lt;21),"Duración muy corta: revisar fechas",IF(O237&gt;400,"Duración mayor a 400 días: revisar fechas",IF(I237="","Falta la forma de pago",IF(L237="","Falta el monto cobrado","OK"))))))))))))</f>
        <v/>
      </c>
    </row>
    <row r="238" customFormat="false" ht="15" hidden="false" customHeight="false" outlineLevel="0" collapsed="false">
      <c r="A238" s="18"/>
      <c r="B238" s="19"/>
      <c r="C238" s="20"/>
      <c r="D238" s="20"/>
      <c r="E238" s="19"/>
      <c r="F238" s="18"/>
      <c r="G238" s="21"/>
      <c r="H238" s="21"/>
      <c r="I238" s="18"/>
      <c r="J238" s="22"/>
      <c r="K238" s="23"/>
      <c r="L238" s="23"/>
      <c r="M238" s="24"/>
      <c r="N238" s="19"/>
      <c r="O238" s="25" t="str">
        <f aca="false">IF(OR(G238="",H238=""),"",H238-G238)</f>
        <v/>
      </c>
      <c r="P238" s="26" t="str">
        <f aca="false">IF(COUNTA(A238:N238)=0,"",IF(B238="","Falta el nombre",IF(C238="","Falta la cédula",IF(LEN(C238)&lt;&gt;10,"La cédula debe tener 10 dígitos",IF(F238="","Falta el tipo de plan",IF(G238="","Falta la fecha de inicio",IF(H238="","Falta la fecha de vencimiento",IF(O238&lt;=0,"El vencimiento debe ser posterior al inicio",IF(AND(F238&lt;&gt;"DIARIO",O238&lt;21),"Duración muy corta: revisar fechas",IF(O238&gt;400,"Duración mayor a 400 días: revisar fechas",IF(I238="","Falta la forma de pago",IF(L238="","Falta el monto cobrado","OK"))))))))))))</f>
        <v/>
      </c>
    </row>
    <row r="239" customFormat="false" ht="15" hidden="false" customHeight="false" outlineLevel="0" collapsed="false">
      <c r="A239" s="18"/>
      <c r="B239" s="19"/>
      <c r="C239" s="20"/>
      <c r="D239" s="20"/>
      <c r="E239" s="19"/>
      <c r="F239" s="18"/>
      <c r="G239" s="21"/>
      <c r="H239" s="21"/>
      <c r="I239" s="18"/>
      <c r="J239" s="22"/>
      <c r="K239" s="23"/>
      <c r="L239" s="23"/>
      <c r="M239" s="24"/>
      <c r="N239" s="19"/>
      <c r="O239" s="25" t="str">
        <f aca="false">IF(OR(G239="",H239=""),"",H239-G239)</f>
        <v/>
      </c>
      <c r="P239" s="26" t="str">
        <f aca="false">IF(COUNTA(A239:N239)=0,"",IF(B239="","Falta el nombre",IF(C239="","Falta la cédula",IF(LEN(C239)&lt;&gt;10,"La cédula debe tener 10 dígitos",IF(F239="","Falta el tipo de plan",IF(G239="","Falta la fecha de inicio",IF(H239="","Falta la fecha de vencimiento",IF(O239&lt;=0,"El vencimiento debe ser posterior al inicio",IF(AND(F239&lt;&gt;"DIARIO",O239&lt;21),"Duración muy corta: revisar fechas",IF(O239&gt;400,"Duración mayor a 400 días: revisar fechas",IF(I239="","Falta la forma de pago",IF(L239="","Falta el monto cobrado","OK"))))))))))))</f>
        <v/>
      </c>
    </row>
    <row r="240" customFormat="false" ht="15" hidden="false" customHeight="false" outlineLevel="0" collapsed="false">
      <c r="A240" s="18"/>
      <c r="B240" s="19"/>
      <c r="C240" s="20"/>
      <c r="D240" s="20"/>
      <c r="E240" s="19"/>
      <c r="F240" s="18"/>
      <c r="G240" s="21"/>
      <c r="H240" s="21"/>
      <c r="I240" s="18"/>
      <c r="J240" s="22"/>
      <c r="K240" s="23"/>
      <c r="L240" s="23"/>
      <c r="M240" s="24"/>
      <c r="N240" s="19"/>
      <c r="O240" s="25" t="str">
        <f aca="false">IF(OR(G240="",H240=""),"",H240-G240)</f>
        <v/>
      </c>
      <c r="P240" s="26" t="str">
        <f aca="false">IF(COUNTA(A240:N240)=0,"",IF(B240="","Falta el nombre",IF(C240="","Falta la cédula",IF(LEN(C240)&lt;&gt;10,"La cédula debe tener 10 dígitos",IF(F240="","Falta el tipo de plan",IF(G240="","Falta la fecha de inicio",IF(H240="","Falta la fecha de vencimiento",IF(O240&lt;=0,"El vencimiento debe ser posterior al inicio",IF(AND(F240&lt;&gt;"DIARIO",O240&lt;21),"Duración muy corta: revisar fechas",IF(O240&gt;400,"Duración mayor a 400 días: revisar fechas",IF(I240="","Falta la forma de pago",IF(L240="","Falta el monto cobrado","OK"))))))))))))</f>
        <v/>
      </c>
    </row>
    <row r="241" customFormat="false" ht="15" hidden="false" customHeight="false" outlineLevel="0" collapsed="false">
      <c r="A241" s="18"/>
      <c r="B241" s="19"/>
      <c r="C241" s="20"/>
      <c r="D241" s="20"/>
      <c r="E241" s="19"/>
      <c r="F241" s="18"/>
      <c r="G241" s="21"/>
      <c r="H241" s="21"/>
      <c r="I241" s="18"/>
      <c r="J241" s="22"/>
      <c r="K241" s="23"/>
      <c r="L241" s="23"/>
      <c r="M241" s="24"/>
      <c r="N241" s="19"/>
      <c r="O241" s="25" t="str">
        <f aca="false">IF(OR(G241="",H241=""),"",H241-G241)</f>
        <v/>
      </c>
      <c r="P241" s="26" t="str">
        <f aca="false">IF(COUNTA(A241:N241)=0,"",IF(B241="","Falta el nombre",IF(C241="","Falta la cédula",IF(LEN(C241)&lt;&gt;10,"La cédula debe tener 10 dígitos",IF(F241="","Falta el tipo de plan",IF(G241="","Falta la fecha de inicio",IF(H241="","Falta la fecha de vencimiento",IF(O241&lt;=0,"El vencimiento debe ser posterior al inicio",IF(AND(F241&lt;&gt;"DIARIO",O241&lt;21),"Duración muy corta: revisar fechas",IF(O241&gt;400,"Duración mayor a 400 días: revisar fechas",IF(I241="","Falta la forma de pago",IF(L241="","Falta el monto cobrado","OK"))))))))))))</f>
        <v/>
      </c>
    </row>
    <row r="242" customFormat="false" ht="15" hidden="false" customHeight="false" outlineLevel="0" collapsed="false">
      <c r="A242" s="18"/>
      <c r="B242" s="19"/>
      <c r="C242" s="20"/>
      <c r="D242" s="20"/>
      <c r="E242" s="19"/>
      <c r="F242" s="18"/>
      <c r="G242" s="21"/>
      <c r="H242" s="21"/>
      <c r="I242" s="18"/>
      <c r="J242" s="22"/>
      <c r="K242" s="23"/>
      <c r="L242" s="23"/>
      <c r="M242" s="24"/>
      <c r="N242" s="19"/>
      <c r="O242" s="25" t="str">
        <f aca="false">IF(OR(G242="",H242=""),"",H242-G242)</f>
        <v/>
      </c>
      <c r="P242" s="26" t="str">
        <f aca="false">IF(COUNTA(A242:N242)=0,"",IF(B242="","Falta el nombre",IF(C242="","Falta la cédula",IF(LEN(C242)&lt;&gt;10,"La cédula debe tener 10 dígitos",IF(F242="","Falta el tipo de plan",IF(G242="","Falta la fecha de inicio",IF(H242="","Falta la fecha de vencimiento",IF(O242&lt;=0,"El vencimiento debe ser posterior al inicio",IF(AND(F242&lt;&gt;"DIARIO",O242&lt;21),"Duración muy corta: revisar fechas",IF(O242&gt;400,"Duración mayor a 400 días: revisar fechas",IF(I242="","Falta la forma de pago",IF(L242="","Falta el monto cobrado","OK"))))))))))))</f>
        <v/>
      </c>
    </row>
    <row r="243" customFormat="false" ht="15" hidden="false" customHeight="false" outlineLevel="0" collapsed="false">
      <c r="A243" s="18"/>
      <c r="B243" s="19"/>
      <c r="C243" s="20"/>
      <c r="D243" s="20"/>
      <c r="E243" s="19"/>
      <c r="F243" s="18"/>
      <c r="G243" s="21"/>
      <c r="H243" s="21"/>
      <c r="I243" s="18"/>
      <c r="J243" s="22"/>
      <c r="K243" s="23"/>
      <c r="L243" s="23"/>
      <c r="M243" s="24"/>
      <c r="N243" s="19"/>
      <c r="O243" s="25" t="str">
        <f aca="false">IF(OR(G243="",H243=""),"",H243-G243)</f>
        <v/>
      </c>
      <c r="P243" s="26" t="str">
        <f aca="false">IF(COUNTA(A243:N243)=0,"",IF(B243="","Falta el nombre",IF(C243="","Falta la cédula",IF(LEN(C243)&lt;&gt;10,"La cédula debe tener 10 dígitos",IF(F243="","Falta el tipo de plan",IF(G243="","Falta la fecha de inicio",IF(H243="","Falta la fecha de vencimiento",IF(O243&lt;=0,"El vencimiento debe ser posterior al inicio",IF(AND(F243&lt;&gt;"DIARIO",O243&lt;21),"Duración muy corta: revisar fechas",IF(O243&gt;400,"Duración mayor a 400 días: revisar fechas",IF(I243="","Falta la forma de pago",IF(L243="","Falta el monto cobrado","OK"))))))))))))</f>
        <v/>
      </c>
    </row>
    <row r="244" customFormat="false" ht="15" hidden="false" customHeight="false" outlineLevel="0" collapsed="false">
      <c r="A244" s="18"/>
      <c r="B244" s="19"/>
      <c r="C244" s="20"/>
      <c r="D244" s="20"/>
      <c r="E244" s="19"/>
      <c r="F244" s="18"/>
      <c r="G244" s="21"/>
      <c r="H244" s="21"/>
      <c r="I244" s="18"/>
      <c r="J244" s="22"/>
      <c r="K244" s="23"/>
      <c r="L244" s="23"/>
      <c r="M244" s="24"/>
      <c r="N244" s="19"/>
      <c r="O244" s="25" t="str">
        <f aca="false">IF(OR(G244="",H244=""),"",H244-G244)</f>
        <v/>
      </c>
      <c r="P244" s="26" t="str">
        <f aca="false">IF(COUNTA(A244:N244)=0,"",IF(B244="","Falta el nombre",IF(C244="","Falta la cédula",IF(LEN(C244)&lt;&gt;10,"La cédula debe tener 10 dígitos",IF(F244="","Falta el tipo de plan",IF(G244="","Falta la fecha de inicio",IF(H244="","Falta la fecha de vencimiento",IF(O244&lt;=0,"El vencimiento debe ser posterior al inicio",IF(AND(F244&lt;&gt;"DIARIO",O244&lt;21),"Duración muy corta: revisar fechas",IF(O244&gt;400,"Duración mayor a 400 días: revisar fechas",IF(I244="","Falta la forma de pago",IF(L244="","Falta el monto cobrado","OK"))))))))))))</f>
        <v/>
      </c>
    </row>
    <row r="245" customFormat="false" ht="15" hidden="false" customHeight="false" outlineLevel="0" collapsed="false">
      <c r="A245" s="18"/>
      <c r="B245" s="19"/>
      <c r="C245" s="20"/>
      <c r="D245" s="20"/>
      <c r="E245" s="19"/>
      <c r="F245" s="18"/>
      <c r="G245" s="21"/>
      <c r="H245" s="21"/>
      <c r="I245" s="18"/>
      <c r="J245" s="22"/>
      <c r="K245" s="23"/>
      <c r="L245" s="23"/>
      <c r="M245" s="24"/>
      <c r="N245" s="19"/>
      <c r="O245" s="25" t="str">
        <f aca="false">IF(OR(G245="",H245=""),"",H245-G245)</f>
        <v/>
      </c>
      <c r="P245" s="26" t="str">
        <f aca="false">IF(COUNTA(A245:N245)=0,"",IF(B245="","Falta el nombre",IF(C245="","Falta la cédula",IF(LEN(C245)&lt;&gt;10,"La cédula debe tener 10 dígitos",IF(F245="","Falta el tipo de plan",IF(G245="","Falta la fecha de inicio",IF(H245="","Falta la fecha de vencimiento",IF(O245&lt;=0,"El vencimiento debe ser posterior al inicio",IF(AND(F245&lt;&gt;"DIARIO",O245&lt;21),"Duración muy corta: revisar fechas",IF(O245&gt;400,"Duración mayor a 400 días: revisar fechas",IF(I245="","Falta la forma de pago",IF(L245="","Falta el monto cobrado","OK"))))))))))))</f>
        <v/>
      </c>
    </row>
    <row r="246" customFormat="false" ht="15" hidden="false" customHeight="false" outlineLevel="0" collapsed="false">
      <c r="A246" s="18"/>
      <c r="B246" s="19"/>
      <c r="C246" s="20"/>
      <c r="D246" s="20"/>
      <c r="E246" s="19"/>
      <c r="F246" s="18"/>
      <c r="G246" s="21"/>
      <c r="H246" s="21"/>
      <c r="I246" s="18"/>
      <c r="J246" s="22"/>
      <c r="K246" s="23"/>
      <c r="L246" s="23"/>
      <c r="M246" s="24"/>
      <c r="N246" s="19"/>
      <c r="O246" s="25" t="str">
        <f aca="false">IF(OR(G246="",H246=""),"",H246-G246)</f>
        <v/>
      </c>
      <c r="P246" s="26" t="str">
        <f aca="false">IF(COUNTA(A246:N246)=0,"",IF(B246="","Falta el nombre",IF(C246="","Falta la cédula",IF(LEN(C246)&lt;&gt;10,"La cédula debe tener 10 dígitos",IF(F246="","Falta el tipo de plan",IF(G246="","Falta la fecha de inicio",IF(H246="","Falta la fecha de vencimiento",IF(O246&lt;=0,"El vencimiento debe ser posterior al inicio",IF(AND(F246&lt;&gt;"DIARIO",O246&lt;21),"Duración muy corta: revisar fechas",IF(O246&gt;400,"Duración mayor a 400 días: revisar fechas",IF(I246="","Falta la forma de pago",IF(L246="","Falta el monto cobrado","OK"))))))))))))</f>
        <v/>
      </c>
    </row>
    <row r="247" customFormat="false" ht="15" hidden="false" customHeight="false" outlineLevel="0" collapsed="false">
      <c r="A247" s="18"/>
      <c r="B247" s="19"/>
      <c r="C247" s="20"/>
      <c r="D247" s="20"/>
      <c r="E247" s="19"/>
      <c r="F247" s="18"/>
      <c r="G247" s="21"/>
      <c r="H247" s="21"/>
      <c r="I247" s="18"/>
      <c r="J247" s="22"/>
      <c r="K247" s="23"/>
      <c r="L247" s="23"/>
      <c r="M247" s="24"/>
      <c r="N247" s="19"/>
      <c r="O247" s="25" t="str">
        <f aca="false">IF(OR(G247="",H247=""),"",H247-G247)</f>
        <v/>
      </c>
      <c r="P247" s="26" t="str">
        <f aca="false">IF(COUNTA(A247:N247)=0,"",IF(B247="","Falta el nombre",IF(C247="","Falta la cédula",IF(LEN(C247)&lt;&gt;10,"La cédula debe tener 10 dígitos",IF(F247="","Falta el tipo de plan",IF(G247="","Falta la fecha de inicio",IF(H247="","Falta la fecha de vencimiento",IF(O247&lt;=0,"El vencimiento debe ser posterior al inicio",IF(AND(F247&lt;&gt;"DIARIO",O247&lt;21),"Duración muy corta: revisar fechas",IF(O247&gt;400,"Duración mayor a 400 días: revisar fechas",IF(I247="","Falta la forma de pago",IF(L247="","Falta el monto cobrado","OK"))))))))))))</f>
        <v/>
      </c>
    </row>
    <row r="248" customFormat="false" ht="15" hidden="false" customHeight="false" outlineLevel="0" collapsed="false">
      <c r="A248" s="18"/>
      <c r="B248" s="19"/>
      <c r="C248" s="20"/>
      <c r="D248" s="20"/>
      <c r="E248" s="19"/>
      <c r="F248" s="18"/>
      <c r="G248" s="21"/>
      <c r="H248" s="21"/>
      <c r="I248" s="18"/>
      <c r="J248" s="22"/>
      <c r="K248" s="23"/>
      <c r="L248" s="23"/>
      <c r="M248" s="24"/>
      <c r="N248" s="19"/>
      <c r="O248" s="25" t="str">
        <f aca="false">IF(OR(G248="",H248=""),"",H248-G248)</f>
        <v/>
      </c>
      <c r="P248" s="26" t="str">
        <f aca="false">IF(COUNTA(A248:N248)=0,"",IF(B248="","Falta el nombre",IF(C248="","Falta la cédula",IF(LEN(C248)&lt;&gt;10,"La cédula debe tener 10 dígitos",IF(F248="","Falta el tipo de plan",IF(G248="","Falta la fecha de inicio",IF(H248="","Falta la fecha de vencimiento",IF(O248&lt;=0,"El vencimiento debe ser posterior al inicio",IF(AND(F248&lt;&gt;"DIARIO",O248&lt;21),"Duración muy corta: revisar fechas",IF(O248&gt;400,"Duración mayor a 400 días: revisar fechas",IF(I248="","Falta la forma de pago",IF(L248="","Falta el monto cobrado","OK"))))))))))))</f>
        <v/>
      </c>
    </row>
    <row r="249" customFormat="false" ht="15" hidden="false" customHeight="false" outlineLevel="0" collapsed="false">
      <c r="A249" s="18"/>
      <c r="B249" s="19"/>
      <c r="C249" s="20"/>
      <c r="D249" s="20"/>
      <c r="E249" s="19"/>
      <c r="F249" s="18"/>
      <c r="G249" s="21"/>
      <c r="H249" s="21"/>
      <c r="I249" s="18"/>
      <c r="J249" s="22"/>
      <c r="K249" s="23"/>
      <c r="L249" s="23"/>
      <c r="M249" s="24"/>
      <c r="N249" s="19"/>
      <c r="O249" s="25" t="str">
        <f aca="false">IF(OR(G249="",H249=""),"",H249-G249)</f>
        <v/>
      </c>
      <c r="P249" s="26" t="str">
        <f aca="false">IF(COUNTA(A249:N249)=0,"",IF(B249="","Falta el nombre",IF(C249="","Falta la cédula",IF(LEN(C249)&lt;&gt;10,"La cédula debe tener 10 dígitos",IF(F249="","Falta el tipo de plan",IF(G249="","Falta la fecha de inicio",IF(H249="","Falta la fecha de vencimiento",IF(O249&lt;=0,"El vencimiento debe ser posterior al inicio",IF(AND(F249&lt;&gt;"DIARIO",O249&lt;21),"Duración muy corta: revisar fechas",IF(O249&gt;400,"Duración mayor a 400 días: revisar fechas",IF(I249="","Falta la forma de pago",IF(L249="","Falta el monto cobrado","OK"))))))))))))</f>
        <v/>
      </c>
    </row>
    <row r="250" customFormat="false" ht="15" hidden="false" customHeight="false" outlineLevel="0" collapsed="false">
      <c r="A250" s="18"/>
      <c r="B250" s="19"/>
      <c r="C250" s="20"/>
      <c r="D250" s="20"/>
      <c r="E250" s="19"/>
      <c r="F250" s="18"/>
      <c r="G250" s="21"/>
      <c r="H250" s="21"/>
      <c r="I250" s="18"/>
      <c r="J250" s="22"/>
      <c r="K250" s="23"/>
      <c r="L250" s="23"/>
      <c r="M250" s="24"/>
      <c r="N250" s="19"/>
      <c r="O250" s="25" t="str">
        <f aca="false">IF(OR(G250="",H250=""),"",H250-G250)</f>
        <v/>
      </c>
      <c r="P250" s="26" t="str">
        <f aca="false">IF(COUNTA(A250:N250)=0,"",IF(B250="","Falta el nombre",IF(C250="","Falta la cédula",IF(LEN(C250)&lt;&gt;10,"La cédula debe tener 10 dígitos",IF(F250="","Falta el tipo de plan",IF(G250="","Falta la fecha de inicio",IF(H250="","Falta la fecha de vencimiento",IF(O250&lt;=0,"El vencimiento debe ser posterior al inicio",IF(AND(F250&lt;&gt;"DIARIO",O250&lt;21),"Duración muy corta: revisar fechas",IF(O250&gt;400,"Duración mayor a 400 días: revisar fechas",IF(I250="","Falta la forma de pago",IF(L250="","Falta el monto cobrado","OK"))))))))))))</f>
        <v/>
      </c>
    </row>
    <row r="251" customFormat="false" ht="15" hidden="false" customHeight="false" outlineLevel="0" collapsed="false">
      <c r="A251" s="18"/>
      <c r="B251" s="19"/>
      <c r="C251" s="20"/>
      <c r="D251" s="20"/>
      <c r="E251" s="19"/>
      <c r="F251" s="18"/>
      <c r="G251" s="21"/>
      <c r="H251" s="21"/>
      <c r="I251" s="18"/>
      <c r="J251" s="22"/>
      <c r="K251" s="23"/>
      <c r="L251" s="23"/>
      <c r="M251" s="24"/>
      <c r="N251" s="19"/>
      <c r="O251" s="25" t="str">
        <f aca="false">IF(OR(G251="",H251=""),"",H251-G251)</f>
        <v/>
      </c>
      <c r="P251" s="26" t="str">
        <f aca="false">IF(COUNTA(A251:N251)=0,"",IF(B251="","Falta el nombre",IF(C251="","Falta la cédula",IF(LEN(C251)&lt;&gt;10,"La cédula debe tener 10 dígitos",IF(F251="","Falta el tipo de plan",IF(G251="","Falta la fecha de inicio",IF(H251="","Falta la fecha de vencimiento",IF(O251&lt;=0,"El vencimiento debe ser posterior al inicio",IF(AND(F251&lt;&gt;"DIARIO",O251&lt;21),"Duración muy corta: revisar fechas",IF(O251&gt;400,"Duración mayor a 400 días: revisar fechas",IF(I251="","Falta la forma de pago",IF(L251="","Falta el monto cobrado","OK"))))))))))))</f>
        <v/>
      </c>
    </row>
    <row r="252" customFormat="false" ht="15" hidden="false" customHeight="false" outlineLevel="0" collapsed="false">
      <c r="A252" s="18"/>
      <c r="B252" s="19"/>
      <c r="C252" s="20"/>
      <c r="D252" s="20"/>
      <c r="E252" s="19"/>
      <c r="F252" s="18"/>
      <c r="G252" s="21"/>
      <c r="H252" s="21"/>
      <c r="I252" s="18"/>
      <c r="J252" s="22"/>
      <c r="K252" s="23"/>
      <c r="L252" s="23"/>
      <c r="M252" s="24"/>
      <c r="N252" s="19"/>
      <c r="O252" s="25" t="str">
        <f aca="false">IF(OR(G252="",H252=""),"",H252-G252)</f>
        <v/>
      </c>
      <c r="P252" s="26" t="str">
        <f aca="false">IF(COUNTA(A252:N252)=0,"",IF(B252="","Falta el nombre",IF(C252="","Falta la cédula",IF(LEN(C252)&lt;&gt;10,"La cédula debe tener 10 dígitos",IF(F252="","Falta el tipo de plan",IF(G252="","Falta la fecha de inicio",IF(H252="","Falta la fecha de vencimiento",IF(O252&lt;=0,"El vencimiento debe ser posterior al inicio",IF(AND(F252&lt;&gt;"DIARIO",O252&lt;21),"Duración muy corta: revisar fechas",IF(O252&gt;400,"Duración mayor a 400 días: revisar fechas",IF(I252="","Falta la forma de pago",IF(L252="","Falta el monto cobrado","OK"))))))))))))</f>
        <v/>
      </c>
    </row>
    <row r="253" customFormat="false" ht="15" hidden="false" customHeight="false" outlineLevel="0" collapsed="false">
      <c r="A253" s="18"/>
      <c r="B253" s="19"/>
      <c r="C253" s="20"/>
      <c r="D253" s="20"/>
      <c r="E253" s="19"/>
      <c r="F253" s="18"/>
      <c r="G253" s="21"/>
      <c r="H253" s="21"/>
      <c r="I253" s="18"/>
      <c r="J253" s="22"/>
      <c r="K253" s="23"/>
      <c r="L253" s="23"/>
      <c r="M253" s="24"/>
      <c r="N253" s="19"/>
      <c r="O253" s="25" t="str">
        <f aca="false">IF(OR(G253="",H253=""),"",H253-G253)</f>
        <v/>
      </c>
      <c r="P253" s="26" t="str">
        <f aca="false">IF(COUNTA(A253:N253)=0,"",IF(B253="","Falta el nombre",IF(C253="","Falta la cédula",IF(LEN(C253)&lt;&gt;10,"La cédula debe tener 10 dígitos",IF(F253="","Falta el tipo de plan",IF(G253="","Falta la fecha de inicio",IF(H253="","Falta la fecha de vencimiento",IF(O253&lt;=0,"El vencimiento debe ser posterior al inicio",IF(AND(F253&lt;&gt;"DIARIO",O253&lt;21),"Duración muy corta: revisar fechas",IF(O253&gt;400,"Duración mayor a 400 días: revisar fechas",IF(I253="","Falta la forma de pago",IF(L253="","Falta el monto cobrado","OK"))))))))))))</f>
        <v/>
      </c>
    </row>
    <row r="254" customFormat="false" ht="15" hidden="false" customHeight="false" outlineLevel="0" collapsed="false">
      <c r="A254" s="18"/>
      <c r="B254" s="19"/>
      <c r="C254" s="20"/>
      <c r="D254" s="20"/>
      <c r="E254" s="19"/>
      <c r="F254" s="18"/>
      <c r="G254" s="21"/>
      <c r="H254" s="21"/>
      <c r="I254" s="18"/>
      <c r="J254" s="22"/>
      <c r="K254" s="23"/>
      <c r="L254" s="23"/>
      <c r="M254" s="24"/>
      <c r="N254" s="19"/>
      <c r="O254" s="25" t="str">
        <f aca="false">IF(OR(G254="",H254=""),"",H254-G254)</f>
        <v/>
      </c>
      <c r="P254" s="26" t="str">
        <f aca="false">IF(COUNTA(A254:N254)=0,"",IF(B254="","Falta el nombre",IF(C254="","Falta la cédula",IF(LEN(C254)&lt;&gt;10,"La cédula debe tener 10 dígitos",IF(F254="","Falta el tipo de plan",IF(G254="","Falta la fecha de inicio",IF(H254="","Falta la fecha de vencimiento",IF(O254&lt;=0,"El vencimiento debe ser posterior al inicio",IF(AND(F254&lt;&gt;"DIARIO",O254&lt;21),"Duración muy corta: revisar fechas",IF(O254&gt;400,"Duración mayor a 400 días: revisar fechas",IF(I254="","Falta la forma de pago",IF(L254="","Falta el monto cobrado","OK"))))))))))))</f>
        <v/>
      </c>
    </row>
    <row r="255" customFormat="false" ht="15" hidden="false" customHeight="false" outlineLevel="0" collapsed="false">
      <c r="A255" s="18"/>
      <c r="B255" s="19"/>
      <c r="C255" s="20"/>
      <c r="D255" s="20"/>
      <c r="E255" s="19"/>
      <c r="F255" s="18"/>
      <c r="G255" s="21"/>
      <c r="H255" s="21"/>
      <c r="I255" s="18"/>
      <c r="J255" s="22"/>
      <c r="K255" s="23"/>
      <c r="L255" s="23"/>
      <c r="M255" s="24"/>
      <c r="N255" s="19"/>
      <c r="O255" s="25" t="str">
        <f aca="false">IF(OR(G255="",H255=""),"",H255-G255)</f>
        <v/>
      </c>
      <c r="P255" s="26" t="str">
        <f aca="false">IF(COUNTA(A255:N255)=0,"",IF(B255="","Falta el nombre",IF(C255="","Falta la cédula",IF(LEN(C255)&lt;&gt;10,"La cédula debe tener 10 dígitos",IF(F255="","Falta el tipo de plan",IF(G255="","Falta la fecha de inicio",IF(H255="","Falta la fecha de vencimiento",IF(O255&lt;=0,"El vencimiento debe ser posterior al inicio",IF(AND(F255&lt;&gt;"DIARIO",O255&lt;21),"Duración muy corta: revisar fechas",IF(O255&gt;400,"Duración mayor a 400 días: revisar fechas",IF(I255="","Falta la forma de pago",IF(L255="","Falta el monto cobrado","OK"))))))))))))</f>
        <v/>
      </c>
    </row>
    <row r="256" customFormat="false" ht="15" hidden="false" customHeight="false" outlineLevel="0" collapsed="false">
      <c r="A256" s="18"/>
      <c r="B256" s="19"/>
      <c r="C256" s="20"/>
      <c r="D256" s="20"/>
      <c r="E256" s="19"/>
      <c r="F256" s="18"/>
      <c r="G256" s="21"/>
      <c r="H256" s="21"/>
      <c r="I256" s="18"/>
      <c r="J256" s="22"/>
      <c r="K256" s="23"/>
      <c r="L256" s="23"/>
      <c r="M256" s="24"/>
      <c r="N256" s="19"/>
      <c r="O256" s="25" t="str">
        <f aca="false">IF(OR(G256="",H256=""),"",H256-G256)</f>
        <v/>
      </c>
      <c r="P256" s="26" t="str">
        <f aca="false">IF(COUNTA(A256:N256)=0,"",IF(B256="","Falta el nombre",IF(C256="","Falta la cédula",IF(LEN(C256)&lt;&gt;10,"La cédula debe tener 10 dígitos",IF(F256="","Falta el tipo de plan",IF(G256="","Falta la fecha de inicio",IF(H256="","Falta la fecha de vencimiento",IF(O256&lt;=0,"El vencimiento debe ser posterior al inicio",IF(AND(F256&lt;&gt;"DIARIO",O256&lt;21),"Duración muy corta: revisar fechas",IF(O256&gt;400,"Duración mayor a 400 días: revisar fechas",IF(I256="","Falta la forma de pago",IF(L256="","Falta el monto cobrado","OK"))))))))))))</f>
        <v/>
      </c>
    </row>
    <row r="257" customFormat="false" ht="15" hidden="false" customHeight="false" outlineLevel="0" collapsed="false">
      <c r="A257" s="18"/>
      <c r="B257" s="19"/>
      <c r="C257" s="20"/>
      <c r="D257" s="20"/>
      <c r="E257" s="19"/>
      <c r="F257" s="18"/>
      <c r="G257" s="21"/>
      <c r="H257" s="21"/>
      <c r="I257" s="18"/>
      <c r="J257" s="22"/>
      <c r="K257" s="23"/>
      <c r="L257" s="23"/>
      <c r="M257" s="24"/>
      <c r="N257" s="19"/>
      <c r="O257" s="25" t="str">
        <f aca="false">IF(OR(G257="",H257=""),"",H257-G257)</f>
        <v/>
      </c>
      <c r="P257" s="26" t="str">
        <f aca="false">IF(COUNTA(A257:N257)=0,"",IF(B257="","Falta el nombre",IF(C257="","Falta la cédula",IF(LEN(C257)&lt;&gt;10,"La cédula debe tener 10 dígitos",IF(F257="","Falta el tipo de plan",IF(G257="","Falta la fecha de inicio",IF(H257="","Falta la fecha de vencimiento",IF(O257&lt;=0,"El vencimiento debe ser posterior al inicio",IF(AND(F257&lt;&gt;"DIARIO",O257&lt;21),"Duración muy corta: revisar fechas",IF(O257&gt;400,"Duración mayor a 400 días: revisar fechas",IF(I257="","Falta la forma de pago",IF(L257="","Falta el monto cobrado","OK"))))))))))))</f>
        <v/>
      </c>
    </row>
    <row r="258" customFormat="false" ht="15" hidden="false" customHeight="false" outlineLevel="0" collapsed="false">
      <c r="A258" s="18"/>
      <c r="B258" s="19"/>
      <c r="C258" s="20"/>
      <c r="D258" s="20"/>
      <c r="E258" s="19"/>
      <c r="F258" s="18"/>
      <c r="G258" s="21"/>
      <c r="H258" s="21"/>
      <c r="I258" s="18"/>
      <c r="J258" s="22"/>
      <c r="K258" s="23"/>
      <c r="L258" s="23"/>
      <c r="M258" s="24"/>
      <c r="N258" s="19"/>
      <c r="O258" s="25" t="str">
        <f aca="false">IF(OR(G258="",H258=""),"",H258-G258)</f>
        <v/>
      </c>
      <c r="P258" s="26" t="str">
        <f aca="false">IF(COUNTA(A258:N258)=0,"",IF(B258="","Falta el nombre",IF(C258="","Falta la cédula",IF(LEN(C258)&lt;&gt;10,"La cédula debe tener 10 dígitos",IF(F258="","Falta el tipo de plan",IF(G258="","Falta la fecha de inicio",IF(H258="","Falta la fecha de vencimiento",IF(O258&lt;=0,"El vencimiento debe ser posterior al inicio",IF(AND(F258&lt;&gt;"DIARIO",O258&lt;21),"Duración muy corta: revisar fechas",IF(O258&gt;400,"Duración mayor a 400 días: revisar fechas",IF(I258="","Falta la forma de pago",IF(L258="","Falta el monto cobrado","OK"))))))))))))</f>
        <v/>
      </c>
    </row>
    <row r="259" customFormat="false" ht="15" hidden="false" customHeight="false" outlineLevel="0" collapsed="false">
      <c r="A259" s="18"/>
      <c r="B259" s="19"/>
      <c r="C259" s="20"/>
      <c r="D259" s="20"/>
      <c r="E259" s="19"/>
      <c r="F259" s="18"/>
      <c r="G259" s="21"/>
      <c r="H259" s="21"/>
      <c r="I259" s="18"/>
      <c r="J259" s="22"/>
      <c r="K259" s="23"/>
      <c r="L259" s="23"/>
      <c r="M259" s="24"/>
      <c r="N259" s="19"/>
      <c r="O259" s="25" t="str">
        <f aca="false">IF(OR(G259="",H259=""),"",H259-G259)</f>
        <v/>
      </c>
      <c r="P259" s="26" t="str">
        <f aca="false">IF(COUNTA(A259:N259)=0,"",IF(B259="","Falta el nombre",IF(C259="","Falta la cédula",IF(LEN(C259)&lt;&gt;10,"La cédula debe tener 10 dígitos",IF(F259="","Falta el tipo de plan",IF(G259="","Falta la fecha de inicio",IF(H259="","Falta la fecha de vencimiento",IF(O259&lt;=0,"El vencimiento debe ser posterior al inicio",IF(AND(F259&lt;&gt;"DIARIO",O259&lt;21),"Duración muy corta: revisar fechas",IF(O259&gt;400,"Duración mayor a 400 días: revisar fechas",IF(I259="","Falta la forma de pago",IF(L259="","Falta el monto cobrado","OK"))))))))))))</f>
        <v/>
      </c>
    </row>
    <row r="260" customFormat="false" ht="15" hidden="false" customHeight="false" outlineLevel="0" collapsed="false">
      <c r="A260" s="18"/>
      <c r="B260" s="19"/>
      <c r="C260" s="20"/>
      <c r="D260" s="20"/>
      <c r="E260" s="19"/>
      <c r="F260" s="18"/>
      <c r="G260" s="21"/>
      <c r="H260" s="21"/>
      <c r="I260" s="18"/>
      <c r="J260" s="22"/>
      <c r="K260" s="23"/>
      <c r="L260" s="23"/>
      <c r="M260" s="24"/>
      <c r="N260" s="19"/>
      <c r="O260" s="25" t="str">
        <f aca="false">IF(OR(G260="",H260=""),"",H260-G260)</f>
        <v/>
      </c>
      <c r="P260" s="26" t="str">
        <f aca="false">IF(COUNTA(A260:N260)=0,"",IF(B260="","Falta el nombre",IF(C260="","Falta la cédula",IF(LEN(C260)&lt;&gt;10,"La cédula debe tener 10 dígitos",IF(F260="","Falta el tipo de plan",IF(G260="","Falta la fecha de inicio",IF(H260="","Falta la fecha de vencimiento",IF(O260&lt;=0,"El vencimiento debe ser posterior al inicio",IF(AND(F260&lt;&gt;"DIARIO",O260&lt;21),"Duración muy corta: revisar fechas",IF(O260&gt;400,"Duración mayor a 400 días: revisar fechas",IF(I260="","Falta la forma de pago",IF(L260="","Falta el monto cobrado","OK"))))))))))))</f>
        <v/>
      </c>
    </row>
    <row r="261" customFormat="false" ht="15" hidden="false" customHeight="false" outlineLevel="0" collapsed="false">
      <c r="A261" s="18"/>
      <c r="B261" s="19"/>
      <c r="C261" s="20"/>
      <c r="D261" s="20"/>
      <c r="E261" s="19"/>
      <c r="F261" s="18"/>
      <c r="G261" s="21"/>
      <c r="H261" s="21"/>
      <c r="I261" s="18"/>
      <c r="J261" s="22"/>
      <c r="K261" s="23"/>
      <c r="L261" s="23"/>
      <c r="M261" s="24"/>
      <c r="N261" s="19"/>
      <c r="O261" s="25" t="str">
        <f aca="false">IF(OR(G261="",H261=""),"",H261-G261)</f>
        <v/>
      </c>
      <c r="P261" s="26" t="str">
        <f aca="false">IF(COUNTA(A261:N261)=0,"",IF(B261="","Falta el nombre",IF(C261="","Falta la cédula",IF(LEN(C261)&lt;&gt;10,"La cédula debe tener 10 dígitos",IF(F261="","Falta el tipo de plan",IF(G261="","Falta la fecha de inicio",IF(H261="","Falta la fecha de vencimiento",IF(O261&lt;=0,"El vencimiento debe ser posterior al inicio",IF(AND(F261&lt;&gt;"DIARIO",O261&lt;21),"Duración muy corta: revisar fechas",IF(O261&gt;400,"Duración mayor a 400 días: revisar fechas",IF(I261="","Falta la forma de pago",IF(L261="","Falta el monto cobrado","OK"))))))))))))</f>
        <v/>
      </c>
    </row>
    <row r="262" customFormat="false" ht="15" hidden="false" customHeight="false" outlineLevel="0" collapsed="false">
      <c r="A262" s="18"/>
      <c r="B262" s="19"/>
      <c r="C262" s="20"/>
      <c r="D262" s="20"/>
      <c r="E262" s="19"/>
      <c r="F262" s="18"/>
      <c r="G262" s="21"/>
      <c r="H262" s="21"/>
      <c r="I262" s="18"/>
      <c r="J262" s="22"/>
      <c r="K262" s="23"/>
      <c r="L262" s="23"/>
      <c r="M262" s="24"/>
      <c r="N262" s="19"/>
      <c r="O262" s="25" t="str">
        <f aca="false">IF(OR(G262="",H262=""),"",H262-G262)</f>
        <v/>
      </c>
      <c r="P262" s="26" t="str">
        <f aca="false">IF(COUNTA(A262:N262)=0,"",IF(B262="","Falta el nombre",IF(C262="","Falta la cédula",IF(LEN(C262)&lt;&gt;10,"La cédula debe tener 10 dígitos",IF(F262="","Falta el tipo de plan",IF(G262="","Falta la fecha de inicio",IF(H262="","Falta la fecha de vencimiento",IF(O262&lt;=0,"El vencimiento debe ser posterior al inicio",IF(AND(F262&lt;&gt;"DIARIO",O262&lt;21),"Duración muy corta: revisar fechas",IF(O262&gt;400,"Duración mayor a 400 días: revisar fechas",IF(I262="","Falta la forma de pago",IF(L262="","Falta el monto cobrado","OK"))))))))))))</f>
        <v/>
      </c>
    </row>
    <row r="263" customFormat="false" ht="15" hidden="false" customHeight="false" outlineLevel="0" collapsed="false">
      <c r="A263" s="18"/>
      <c r="B263" s="19"/>
      <c r="C263" s="20"/>
      <c r="D263" s="20"/>
      <c r="E263" s="19"/>
      <c r="F263" s="18"/>
      <c r="G263" s="21"/>
      <c r="H263" s="21"/>
      <c r="I263" s="18"/>
      <c r="J263" s="22"/>
      <c r="K263" s="23"/>
      <c r="L263" s="23"/>
      <c r="M263" s="24"/>
      <c r="N263" s="19"/>
      <c r="O263" s="25" t="str">
        <f aca="false">IF(OR(G263="",H263=""),"",H263-G263)</f>
        <v/>
      </c>
      <c r="P263" s="26" t="str">
        <f aca="false">IF(COUNTA(A263:N263)=0,"",IF(B263="","Falta el nombre",IF(C263="","Falta la cédula",IF(LEN(C263)&lt;&gt;10,"La cédula debe tener 10 dígitos",IF(F263="","Falta el tipo de plan",IF(G263="","Falta la fecha de inicio",IF(H263="","Falta la fecha de vencimiento",IF(O263&lt;=0,"El vencimiento debe ser posterior al inicio",IF(AND(F263&lt;&gt;"DIARIO",O263&lt;21),"Duración muy corta: revisar fechas",IF(O263&gt;400,"Duración mayor a 400 días: revisar fechas",IF(I263="","Falta la forma de pago",IF(L263="","Falta el monto cobrado","OK"))))))))))))</f>
        <v/>
      </c>
    </row>
    <row r="264" customFormat="false" ht="15" hidden="false" customHeight="false" outlineLevel="0" collapsed="false">
      <c r="A264" s="18"/>
      <c r="B264" s="19"/>
      <c r="C264" s="20"/>
      <c r="D264" s="20"/>
      <c r="E264" s="19"/>
      <c r="F264" s="18"/>
      <c r="G264" s="21"/>
      <c r="H264" s="21"/>
      <c r="I264" s="18"/>
      <c r="J264" s="22"/>
      <c r="K264" s="23"/>
      <c r="L264" s="23"/>
      <c r="M264" s="24"/>
      <c r="N264" s="19"/>
      <c r="O264" s="25" t="str">
        <f aca="false">IF(OR(G264="",H264=""),"",H264-G264)</f>
        <v/>
      </c>
      <c r="P264" s="26" t="str">
        <f aca="false">IF(COUNTA(A264:N264)=0,"",IF(B264="","Falta el nombre",IF(C264="","Falta la cédula",IF(LEN(C264)&lt;&gt;10,"La cédula debe tener 10 dígitos",IF(F264="","Falta el tipo de plan",IF(G264="","Falta la fecha de inicio",IF(H264="","Falta la fecha de vencimiento",IF(O264&lt;=0,"El vencimiento debe ser posterior al inicio",IF(AND(F264&lt;&gt;"DIARIO",O264&lt;21),"Duración muy corta: revisar fechas",IF(O264&gt;400,"Duración mayor a 400 días: revisar fechas",IF(I264="","Falta la forma de pago",IF(L264="","Falta el monto cobrado","OK"))))))))))))</f>
        <v/>
      </c>
    </row>
    <row r="265" customFormat="false" ht="15" hidden="false" customHeight="false" outlineLevel="0" collapsed="false">
      <c r="A265" s="18"/>
      <c r="B265" s="19"/>
      <c r="C265" s="20"/>
      <c r="D265" s="20"/>
      <c r="E265" s="19"/>
      <c r="F265" s="18"/>
      <c r="G265" s="21"/>
      <c r="H265" s="21"/>
      <c r="I265" s="18"/>
      <c r="J265" s="22"/>
      <c r="K265" s="23"/>
      <c r="L265" s="23"/>
      <c r="M265" s="24"/>
      <c r="N265" s="19"/>
      <c r="O265" s="25" t="str">
        <f aca="false">IF(OR(G265="",H265=""),"",H265-G265)</f>
        <v/>
      </c>
      <c r="P265" s="26" t="str">
        <f aca="false">IF(COUNTA(A265:N265)=0,"",IF(B265="","Falta el nombre",IF(C265="","Falta la cédula",IF(LEN(C265)&lt;&gt;10,"La cédula debe tener 10 dígitos",IF(F265="","Falta el tipo de plan",IF(G265="","Falta la fecha de inicio",IF(H265="","Falta la fecha de vencimiento",IF(O265&lt;=0,"El vencimiento debe ser posterior al inicio",IF(AND(F265&lt;&gt;"DIARIO",O265&lt;21),"Duración muy corta: revisar fechas",IF(O265&gt;400,"Duración mayor a 400 días: revisar fechas",IF(I265="","Falta la forma de pago",IF(L265="","Falta el monto cobrado","OK"))))))))))))</f>
        <v/>
      </c>
    </row>
    <row r="266" customFormat="false" ht="15" hidden="false" customHeight="false" outlineLevel="0" collapsed="false">
      <c r="A266" s="18"/>
      <c r="B266" s="19"/>
      <c r="C266" s="20"/>
      <c r="D266" s="20"/>
      <c r="E266" s="19"/>
      <c r="F266" s="18"/>
      <c r="G266" s="21"/>
      <c r="H266" s="21"/>
      <c r="I266" s="18"/>
      <c r="J266" s="22"/>
      <c r="K266" s="23"/>
      <c r="L266" s="23"/>
      <c r="M266" s="24"/>
      <c r="N266" s="19"/>
      <c r="O266" s="25" t="str">
        <f aca="false">IF(OR(G266="",H266=""),"",H266-G266)</f>
        <v/>
      </c>
      <c r="P266" s="26" t="str">
        <f aca="false">IF(COUNTA(A266:N266)=0,"",IF(B266="","Falta el nombre",IF(C266="","Falta la cédula",IF(LEN(C266)&lt;&gt;10,"La cédula debe tener 10 dígitos",IF(F266="","Falta el tipo de plan",IF(G266="","Falta la fecha de inicio",IF(H266="","Falta la fecha de vencimiento",IF(O266&lt;=0,"El vencimiento debe ser posterior al inicio",IF(AND(F266&lt;&gt;"DIARIO",O266&lt;21),"Duración muy corta: revisar fechas",IF(O266&gt;400,"Duración mayor a 400 días: revisar fechas",IF(I266="","Falta la forma de pago",IF(L266="","Falta el monto cobrado","OK"))))))))))))</f>
        <v/>
      </c>
    </row>
    <row r="267" customFormat="false" ht="15" hidden="false" customHeight="false" outlineLevel="0" collapsed="false">
      <c r="A267" s="18"/>
      <c r="B267" s="19"/>
      <c r="C267" s="20"/>
      <c r="D267" s="20"/>
      <c r="E267" s="19"/>
      <c r="F267" s="18"/>
      <c r="G267" s="21"/>
      <c r="H267" s="21"/>
      <c r="I267" s="18"/>
      <c r="J267" s="22"/>
      <c r="K267" s="23"/>
      <c r="L267" s="23"/>
      <c r="M267" s="24"/>
      <c r="N267" s="19"/>
      <c r="O267" s="25" t="str">
        <f aca="false">IF(OR(G267="",H267=""),"",H267-G267)</f>
        <v/>
      </c>
      <c r="P267" s="26" t="str">
        <f aca="false">IF(COUNTA(A267:N267)=0,"",IF(B267="","Falta el nombre",IF(C267="","Falta la cédula",IF(LEN(C267)&lt;&gt;10,"La cédula debe tener 10 dígitos",IF(F267="","Falta el tipo de plan",IF(G267="","Falta la fecha de inicio",IF(H267="","Falta la fecha de vencimiento",IF(O267&lt;=0,"El vencimiento debe ser posterior al inicio",IF(AND(F267&lt;&gt;"DIARIO",O267&lt;21),"Duración muy corta: revisar fechas",IF(O267&gt;400,"Duración mayor a 400 días: revisar fechas",IF(I267="","Falta la forma de pago",IF(L267="","Falta el monto cobrado","OK"))))))))))))</f>
        <v/>
      </c>
    </row>
    <row r="268" customFormat="false" ht="15" hidden="false" customHeight="false" outlineLevel="0" collapsed="false">
      <c r="A268" s="18"/>
      <c r="B268" s="19"/>
      <c r="C268" s="20"/>
      <c r="D268" s="20"/>
      <c r="E268" s="19"/>
      <c r="F268" s="18"/>
      <c r="G268" s="21"/>
      <c r="H268" s="21"/>
      <c r="I268" s="18"/>
      <c r="J268" s="22"/>
      <c r="K268" s="23"/>
      <c r="L268" s="23"/>
      <c r="M268" s="24"/>
      <c r="N268" s="19"/>
      <c r="O268" s="25" t="str">
        <f aca="false">IF(OR(G268="",H268=""),"",H268-G268)</f>
        <v/>
      </c>
      <c r="P268" s="26" t="str">
        <f aca="false">IF(COUNTA(A268:N268)=0,"",IF(B268="","Falta el nombre",IF(C268="","Falta la cédula",IF(LEN(C268)&lt;&gt;10,"La cédula debe tener 10 dígitos",IF(F268="","Falta el tipo de plan",IF(G268="","Falta la fecha de inicio",IF(H268="","Falta la fecha de vencimiento",IF(O268&lt;=0,"El vencimiento debe ser posterior al inicio",IF(AND(F268&lt;&gt;"DIARIO",O268&lt;21),"Duración muy corta: revisar fechas",IF(O268&gt;400,"Duración mayor a 400 días: revisar fechas",IF(I268="","Falta la forma de pago",IF(L268="","Falta el monto cobrado","OK"))))))))))))</f>
        <v/>
      </c>
    </row>
    <row r="269" customFormat="false" ht="15" hidden="false" customHeight="false" outlineLevel="0" collapsed="false">
      <c r="A269" s="18"/>
      <c r="B269" s="19"/>
      <c r="C269" s="20"/>
      <c r="D269" s="20"/>
      <c r="E269" s="19"/>
      <c r="F269" s="18"/>
      <c r="G269" s="21"/>
      <c r="H269" s="21"/>
      <c r="I269" s="18"/>
      <c r="J269" s="22"/>
      <c r="K269" s="23"/>
      <c r="L269" s="23"/>
      <c r="M269" s="24"/>
      <c r="N269" s="19"/>
      <c r="O269" s="25" t="str">
        <f aca="false">IF(OR(G269="",H269=""),"",H269-G269)</f>
        <v/>
      </c>
      <c r="P269" s="26" t="str">
        <f aca="false">IF(COUNTA(A269:N269)=0,"",IF(B269="","Falta el nombre",IF(C269="","Falta la cédula",IF(LEN(C269)&lt;&gt;10,"La cédula debe tener 10 dígitos",IF(F269="","Falta el tipo de plan",IF(G269="","Falta la fecha de inicio",IF(H269="","Falta la fecha de vencimiento",IF(O269&lt;=0,"El vencimiento debe ser posterior al inicio",IF(AND(F269&lt;&gt;"DIARIO",O269&lt;21),"Duración muy corta: revisar fechas",IF(O269&gt;400,"Duración mayor a 400 días: revisar fechas",IF(I269="","Falta la forma de pago",IF(L269="","Falta el monto cobrado","OK"))))))))))))</f>
        <v/>
      </c>
    </row>
    <row r="270" customFormat="false" ht="15" hidden="false" customHeight="false" outlineLevel="0" collapsed="false">
      <c r="A270" s="18"/>
      <c r="B270" s="19"/>
      <c r="C270" s="20"/>
      <c r="D270" s="20"/>
      <c r="E270" s="19"/>
      <c r="F270" s="18"/>
      <c r="G270" s="21"/>
      <c r="H270" s="21"/>
      <c r="I270" s="18"/>
      <c r="J270" s="22"/>
      <c r="K270" s="23"/>
      <c r="L270" s="23"/>
      <c r="M270" s="24"/>
      <c r="N270" s="19"/>
      <c r="O270" s="25" t="str">
        <f aca="false">IF(OR(G270="",H270=""),"",H270-G270)</f>
        <v/>
      </c>
      <c r="P270" s="26" t="str">
        <f aca="false">IF(COUNTA(A270:N270)=0,"",IF(B270="","Falta el nombre",IF(C270="","Falta la cédula",IF(LEN(C270)&lt;&gt;10,"La cédula debe tener 10 dígitos",IF(F270="","Falta el tipo de plan",IF(G270="","Falta la fecha de inicio",IF(H270="","Falta la fecha de vencimiento",IF(O270&lt;=0,"El vencimiento debe ser posterior al inicio",IF(AND(F270&lt;&gt;"DIARIO",O270&lt;21),"Duración muy corta: revisar fechas",IF(O270&gt;400,"Duración mayor a 400 días: revisar fechas",IF(I270="","Falta la forma de pago",IF(L270="","Falta el monto cobrado","OK"))))))))))))</f>
        <v/>
      </c>
    </row>
    <row r="271" customFormat="false" ht="15" hidden="false" customHeight="false" outlineLevel="0" collapsed="false">
      <c r="A271" s="18"/>
      <c r="B271" s="19"/>
      <c r="C271" s="20"/>
      <c r="D271" s="20"/>
      <c r="E271" s="19"/>
      <c r="F271" s="18"/>
      <c r="G271" s="21"/>
      <c r="H271" s="21"/>
      <c r="I271" s="18"/>
      <c r="J271" s="22"/>
      <c r="K271" s="23"/>
      <c r="L271" s="23"/>
      <c r="M271" s="24"/>
      <c r="N271" s="19"/>
      <c r="O271" s="25" t="str">
        <f aca="false">IF(OR(G271="",H271=""),"",H271-G271)</f>
        <v/>
      </c>
      <c r="P271" s="26" t="str">
        <f aca="false">IF(COUNTA(A271:N271)=0,"",IF(B271="","Falta el nombre",IF(C271="","Falta la cédula",IF(LEN(C271)&lt;&gt;10,"La cédula debe tener 10 dígitos",IF(F271="","Falta el tipo de plan",IF(G271="","Falta la fecha de inicio",IF(H271="","Falta la fecha de vencimiento",IF(O271&lt;=0,"El vencimiento debe ser posterior al inicio",IF(AND(F271&lt;&gt;"DIARIO",O271&lt;21),"Duración muy corta: revisar fechas",IF(O271&gt;400,"Duración mayor a 400 días: revisar fechas",IF(I271="","Falta la forma de pago",IF(L271="","Falta el monto cobrado","OK"))))))))))))</f>
        <v/>
      </c>
    </row>
    <row r="272" customFormat="false" ht="15" hidden="false" customHeight="false" outlineLevel="0" collapsed="false">
      <c r="A272" s="18"/>
      <c r="B272" s="19"/>
      <c r="C272" s="20"/>
      <c r="D272" s="20"/>
      <c r="E272" s="19"/>
      <c r="F272" s="18"/>
      <c r="G272" s="21"/>
      <c r="H272" s="21"/>
      <c r="I272" s="18"/>
      <c r="J272" s="22"/>
      <c r="K272" s="23"/>
      <c r="L272" s="23"/>
      <c r="M272" s="24"/>
      <c r="N272" s="19"/>
      <c r="O272" s="25" t="str">
        <f aca="false">IF(OR(G272="",H272=""),"",H272-G272)</f>
        <v/>
      </c>
      <c r="P272" s="26" t="str">
        <f aca="false">IF(COUNTA(A272:N272)=0,"",IF(B272="","Falta el nombre",IF(C272="","Falta la cédula",IF(LEN(C272)&lt;&gt;10,"La cédula debe tener 10 dígitos",IF(F272="","Falta el tipo de plan",IF(G272="","Falta la fecha de inicio",IF(H272="","Falta la fecha de vencimiento",IF(O272&lt;=0,"El vencimiento debe ser posterior al inicio",IF(AND(F272&lt;&gt;"DIARIO",O272&lt;21),"Duración muy corta: revisar fechas",IF(O272&gt;400,"Duración mayor a 400 días: revisar fechas",IF(I272="","Falta la forma de pago",IF(L272="","Falta el monto cobrado","OK"))))))))))))</f>
        <v/>
      </c>
    </row>
    <row r="273" customFormat="false" ht="15" hidden="false" customHeight="false" outlineLevel="0" collapsed="false">
      <c r="A273" s="18"/>
      <c r="B273" s="19"/>
      <c r="C273" s="20"/>
      <c r="D273" s="20"/>
      <c r="E273" s="19"/>
      <c r="F273" s="18"/>
      <c r="G273" s="21"/>
      <c r="H273" s="21"/>
      <c r="I273" s="18"/>
      <c r="J273" s="22"/>
      <c r="K273" s="23"/>
      <c r="L273" s="23"/>
      <c r="M273" s="24"/>
      <c r="N273" s="19"/>
      <c r="O273" s="25" t="str">
        <f aca="false">IF(OR(G273="",H273=""),"",H273-G273)</f>
        <v/>
      </c>
      <c r="P273" s="26" t="str">
        <f aca="false">IF(COUNTA(A273:N273)=0,"",IF(B273="","Falta el nombre",IF(C273="","Falta la cédula",IF(LEN(C273)&lt;&gt;10,"La cédula debe tener 10 dígitos",IF(F273="","Falta el tipo de plan",IF(G273="","Falta la fecha de inicio",IF(H273="","Falta la fecha de vencimiento",IF(O273&lt;=0,"El vencimiento debe ser posterior al inicio",IF(AND(F273&lt;&gt;"DIARIO",O273&lt;21),"Duración muy corta: revisar fechas",IF(O273&gt;400,"Duración mayor a 400 días: revisar fechas",IF(I273="","Falta la forma de pago",IF(L273="","Falta el monto cobrado","OK"))))))))))))</f>
        <v/>
      </c>
    </row>
    <row r="274" customFormat="false" ht="15" hidden="false" customHeight="false" outlineLevel="0" collapsed="false">
      <c r="A274" s="18"/>
      <c r="B274" s="19"/>
      <c r="C274" s="20"/>
      <c r="D274" s="20"/>
      <c r="E274" s="19"/>
      <c r="F274" s="18"/>
      <c r="G274" s="21"/>
      <c r="H274" s="21"/>
      <c r="I274" s="18"/>
      <c r="J274" s="22"/>
      <c r="K274" s="23"/>
      <c r="L274" s="23"/>
      <c r="M274" s="24"/>
      <c r="N274" s="19"/>
      <c r="O274" s="25" t="str">
        <f aca="false">IF(OR(G274="",H274=""),"",H274-G274)</f>
        <v/>
      </c>
      <c r="P274" s="26" t="str">
        <f aca="false">IF(COUNTA(A274:N274)=0,"",IF(B274="","Falta el nombre",IF(C274="","Falta la cédula",IF(LEN(C274)&lt;&gt;10,"La cédula debe tener 10 dígitos",IF(F274="","Falta el tipo de plan",IF(G274="","Falta la fecha de inicio",IF(H274="","Falta la fecha de vencimiento",IF(O274&lt;=0,"El vencimiento debe ser posterior al inicio",IF(AND(F274&lt;&gt;"DIARIO",O274&lt;21),"Duración muy corta: revisar fechas",IF(O274&gt;400,"Duración mayor a 400 días: revisar fechas",IF(I274="","Falta la forma de pago",IF(L274="","Falta el monto cobrado","OK"))))))))))))</f>
        <v/>
      </c>
    </row>
    <row r="275" customFormat="false" ht="15" hidden="false" customHeight="false" outlineLevel="0" collapsed="false">
      <c r="A275" s="18"/>
      <c r="B275" s="19"/>
      <c r="C275" s="20"/>
      <c r="D275" s="20"/>
      <c r="E275" s="19"/>
      <c r="F275" s="18"/>
      <c r="G275" s="21"/>
      <c r="H275" s="21"/>
      <c r="I275" s="18"/>
      <c r="J275" s="22"/>
      <c r="K275" s="23"/>
      <c r="L275" s="23"/>
      <c r="M275" s="24"/>
      <c r="N275" s="19"/>
      <c r="O275" s="25" t="str">
        <f aca="false">IF(OR(G275="",H275=""),"",H275-G275)</f>
        <v/>
      </c>
      <c r="P275" s="26" t="str">
        <f aca="false">IF(COUNTA(A275:N275)=0,"",IF(B275="","Falta el nombre",IF(C275="","Falta la cédula",IF(LEN(C275)&lt;&gt;10,"La cédula debe tener 10 dígitos",IF(F275="","Falta el tipo de plan",IF(G275="","Falta la fecha de inicio",IF(H275="","Falta la fecha de vencimiento",IF(O275&lt;=0,"El vencimiento debe ser posterior al inicio",IF(AND(F275&lt;&gt;"DIARIO",O275&lt;21),"Duración muy corta: revisar fechas",IF(O275&gt;400,"Duración mayor a 400 días: revisar fechas",IF(I275="","Falta la forma de pago",IF(L275="","Falta el monto cobrado","OK"))))))))))))</f>
        <v/>
      </c>
    </row>
    <row r="276" customFormat="false" ht="15" hidden="false" customHeight="false" outlineLevel="0" collapsed="false">
      <c r="A276" s="18"/>
      <c r="B276" s="19"/>
      <c r="C276" s="20"/>
      <c r="D276" s="20"/>
      <c r="E276" s="19"/>
      <c r="F276" s="18"/>
      <c r="G276" s="21"/>
      <c r="H276" s="21"/>
      <c r="I276" s="18"/>
      <c r="J276" s="22"/>
      <c r="K276" s="23"/>
      <c r="L276" s="23"/>
      <c r="M276" s="24"/>
      <c r="N276" s="19"/>
      <c r="O276" s="25" t="str">
        <f aca="false">IF(OR(G276="",H276=""),"",H276-G276)</f>
        <v/>
      </c>
      <c r="P276" s="26" t="str">
        <f aca="false">IF(COUNTA(A276:N276)=0,"",IF(B276="","Falta el nombre",IF(C276="","Falta la cédula",IF(LEN(C276)&lt;&gt;10,"La cédula debe tener 10 dígitos",IF(F276="","Falta el tipo de plan",IF(G276="","Falta la fecha de inicio",IF(H276="","Falta la fecha de vencimiento",IF(O276&lt;=0,"El vencimiento debe ser posterior al inicio",IF(AND(F276&lt;&gt;"DIARIO",O276&lt;21),"Duración muy corta: revisar fechas",IF(O276&gt;400,"Duración mayor a 400 días: revisar fechas",IF(I276="","Falta la forma de pago",IF(L276="","Falta el monto cobrado","OK"))))))))))))</f>
        <v/>
      </c>
    </row>
    <row r="277" customFormat="false" ht="15" hidden="false" customHeight="false" outlineLevel="0" collapsed="false">
      <c r="A277" s="18"/>
      <c r="B277" s="19"/>
      <c r="C277" s="20"/>
      <c r="D277" s="20"/>
      <c r="E277" s="19"/>
      <c r="F277" s="18"/>
      <c r="G277" s="21"/>
      <c r="H277" s="21"/>
      <c r="I277" s="18"/>
      <c r="J277" s="22"/>
      <c r="K277" s="23"/>
      <c r="L277" s="23"/>
      <c r="M277" s="24"/>
      <c r="N277" s="19"/>
      <c r="O277" s="25" t="str">
        <f aca="false">IF(OR(G277="",H277=""),"",H277-G277)</f>
        <v/>
      </c>
      <c r="P277" s="26" t="str">
        <f aca="false">IF(COUNTA(A277:N277)=0,"",IF(B277="","Falta el nombre",IF(C277="","Falta la cédula",IF(LEN(C277)&lt;&gt;10,"La cédula debe tener 10 dígitos",IF(F277="","Falta el tipo de plan",IF(G277="","Falta la fecha de inicio",IF(H277="","Falta la fecha de vencimiento",IF(O277&lt;=0,"El vencimiento debe ser posterior al inicio",IF(AND(F277&lt;&gt;"DIARIO",O277&lt;21),"Duración muy corta: revisar fechas",IF(O277&gt;400,"Duración mayor a 400 días: revisar fechas",IF(I277="","Falta la forma de pago",IF(L277="","Falta el monto cobrado","OK"))))))))))))</f>
        <v/>
      </c>
    </row>
    <row r="278" customFormat="false" ht="15" hidden="false" customHeight="false" outlineLevel="0" collapsed="false">
      <c r="A278" s="18"/>
      <c r="B278" s="19"/>
      <c r="C278" s="20"/>
      <c r="D278" s="20"/>
      <c r="E278" s="19"/>
      <c r="F278" s="18"/>
      <c r="G278" s="21"/>
      <c r="H278" s="21"/>
      <c r="I278" s="18"/>
      <c r="J278" s="22"/>
      <c r="K278" s="23"/>
      <c r="L278" s="23"/>
      <c r="M278" s="24"/>
      <c r="N278" s="19"/>
      <c r="O278" s="25" t="str">
        <f aca="false">IF(OR(G278="",H278=""),"",H278-G278)</f>
        <v/>
      </c>
      <c r="P278" s="26" t="str">
        <f aca="false">IF(COUNTA(A278:N278)=0,"",IF(B278="","Falta el nombre",IF(C278="","Falta la cédula",IF(LEN(C278)&lt;&gt;10,"La cédula debe tener 10 dígitos",IF(F278="","Falta el tipo de plan",IF(G278="","Falta la fecha de inicio",IF(H278="","Falta la fecha de vencimiento",IF(O278&lt;=0,"El vencimiento debe ser posterior al inicio",IF(AND(F278&lt;&gt;"DIARIO",O278&lt;21),"Duración muy corta: revisar fechas",IF(O278&gt;400,"Duración mayor a 400 días: revisar fechas",IF(I278="","Falta la forma de pago",IF(L278="","Falta el monto cobrado","OK"))))))))))))</f>
        <v/>
      </c>
    </row>
    <row r="279" customFormat="false" ht="15" hidden="false" customHeight="false" outlineLevel="0" collapsed="false">
      <c r="A279" s="18"/>
      <c r="B279" s="19"/>
      <c r="C279" s="20"/>
      <c r="D279" s="20"/>
      <c r="E279" s="19"/>
      <c r="F279" s="18"/>
      <c r="G279" s="21"/>
      <c r="H279" s="21"/>
      <c r="I279" s="18"/>
      <c r="J279" s="22"/>
      <c r="K279" s="23"/>
      <c r="L279" s="23"/>
      <c r="M279" s="24"/>
      <c r="N279" s="19"/>
      <c r="O279" s="25" t="str">
        <f aca="false">IF(OR(G279="",H279=""),"",H279-G279)</f>
        <v/>
      </c>
      <c r="P279" s="26" t="str">
        <f aca="false">IF(COUNTA(A279:N279)=0,"",IF(B279="","Falta el nombre",IF(C279="","Falta la cédula",IF(LEN(C279)&lt;&gt;10,"La cédula debe tener 10 dígitos",IF(F279="","Falta el tipo de plan",IF(G279="","Falta la fecha de inicio",IF(H279="","Falta la fecha de vencimiento",IF(O279&lt;=0,"El vencimiento debe ser posterior al inicio",IF(AND(F279&lt;&gt;"DIARIO",O279&lt;21),"Duración muy corta: revisar fechas",IF(O279&gt;400,"Duración mayor a 400 días: revisar fechas",IF(I279="","Falta la forma de pago",IF(L279="","Falta el monto cobrado","OK"))))))))))))</f>
        <v/>
      </c>
    </row>
    <row r="280" customFormat="false" ht="15" hidden="false" customHeight="false" outlineLevel="0" collapsed="false">
      <c r="A280" s="18"/>
      <c r="B280" s="19"/>
      <c r="C280" s="20"/>
      <c r="D280" s="20"/>
      <c r="E280" s="19"/>
      <c r="F280" s="18"/>
      <c r="G280" s="21"/>
      <c r="H280" s="21"/>
      <c r="I280" s="18"/>
      <c r="J280" s="22"/>
      <c r="K280" s="23"/>
      <c r="L280" s="23"/>
      <c r="M280" s="24"/>
      <c r="N280" s="19"/>
      <c r="O280" s="25" t="str">
        <f aca="false">IF(OR(G280="",H280=""),"",H280-G280)</f>
        <v/>
      </c>
      <c r="P280" s="26" t="str">
        <f aca="false">IF(COUNTA(A280:N280)=0,"",IF(B280="","Falta el nombre",IF(C280="","Falta la cédula",IF(LEN(C280)&lt;&gt;10,"La cédula debe tener 10 dígitos",IF(F280="","Falta el tipo de plan",IF(G280="","Falta la fecha de inicio",IF(H280="","Falta la fecha de vencimiento",IF(O280&lt;=0,"El vencimiento debe ser posterior al inicio",IF(AND(F280&lt;&gt;"DIARIO",O280&lt;21),"Duración muy corta: revisar fechas",IF(O280&gt;400,"Duración mayor a 400 días: revisar fechas",IF(I280="","Falta la forma de pago",IF(L280="","Falta el monto cobrado","OK"))))))))))))</f>
        <v/>
      </c>
    </row>
    <row r="281" customFormat="false" ht="15" hidden="false" customHeight="false" outlineLevel="0" collapsed="false">
      <c r="A281" s="18"/>
      <c r="B281" s="19"/>
      <c r="C281" s="20"/>
      <c r="D281" s="20"/>
      <c r="E281" s="19"/>
      <c r="F281" s="18"/>
      <c r="G281" s="21"/>
      <c r="H281" s="21"/>
      <c r="I281" s="18"/>
      <c r="J281" s="22"/>
      <c r="K281" s="23"/>
      <c r="L281" s="23"/>
      <c r="M281" s="24"/>
      <c r="N281" s="19"/>
      <c r="O281" s="25" t="str">
        <f aca="false">IF(OR(G281="",H281=""),"",H281-G281)</f>
        <v/>
      </c>
      <c r="P281" s="26" t="str">
        <f aca="false">IF(COUNTA(A281:N281)=0,"",IF(B281="","Falta el nombre",IF(C281="","Falta la cédula",IF(LEN(C281)&lt;&gt;10,"La cédula debe tener 10 dígitos",IF(F281="","Falta el tipo de plan",IF(G281="","Falta la fecha de inicio",IF(H281="","Falta la fecha de vencimiento",IF(O281&lt;=0,"El vencimiento debe ser posterior al inicio",IF(AND(F281&lt;&gt;"DIARIO",O281&lt;21),"Duración muy corta: revisar fechas",IF(O281&gt;400,"Duración mayor a 400 días: revisar fechas",IF(I281="","Falta la forma de pago",IF(L281="","Falta el monto cobrado","OK"))))))))))))</f>
        <v/>
      </c>
    </row>
    <row r="282" customFormat="false" ht="15" hidden="false" customHeight="false" outlineLevel="0" collapsed="false">
      <c r="A282" s="18"/>
      <c r="B282" s="19"/>
      <c r="C282" s="20"/>
      <c r="D282" s="20"/>
      <c r="E282" s="19"/>
      <c r="F282" s="18"/>
      <c r="G282" s="21"/>
      <c r="H282" s="21"/>
      <c r="I282" s="18"/>
      <c r="J282" s="22"/>
      <c r="K282" s="23"/>
      <c r="L282" s="23"/>
      <c r="M282" s="24"/>
      <c r="N282" s="19"/>
      <c r="O282" s="25" t="str">
        <f aca="false">IF(OR(G282="",H282=""),"",H282-G282)</f>
        <v/>
      </c>
      <c r="P282" s="26" t="str">
        <f aca="false">IF(COUNTA(A282:N282)=0,"",IF(B282="","Falta el nombre",IF(C282="","Falta la cédula",IF(LEN(C282)&lt;&gt;10,"La cédula debe tener 10 dígitos",IF(F282="","Falta el tipo de plan",IF(G282="","Falta la fecha de inicio",IF(H282="","Falta la fecha de vencimiento",IF(O282&lt;=0,"El vencimiento debe ser posterior al inicio",IF(AND(F282&lt;&gt;"DIARIO",O282&lt;21),"Duración muy corta: revisar fechas",IF(O282&gt;400,"Duración mayor a 400 días: revisar fechas",IF(I282="","Falta la forma de pago",IF(L282="","Falta el monto cobrado","OK"))))))))))))</f>
        <v/>
      </c>
    </row>
    <row r="283" customFormat="false" ht="15" hidden="false" customHeight="false" outlineLevel="0" collapsed="false">
      <c r="A283" s="18"/>
      <c r="B283" s="19"/>
      <c r="C283" s="20"/>
      <c r="D283" s="20"/>
      <c r="E283" s="19"/>
      <c r="F283" s="18"/>
      <c r="G283" s="21"/>
      <c r="H283" s="21"/>
      <c r="I283" s="18"/>
      <c r="J283" s="22"/>
      <c r="K283" s="23"/>
      <c r="L283" s="23"/>
      <c r="M283" s="24"/>
      <c r="N283" s="19"/>
      <c r="O283" s="25" t="str">
        <f aca="false">IF(OR(G283="",H283=""),"",H283-G283)</f>
        <v/>
      </c>
      <c r="P283" s="26" t="str">
        <f aca="false">IF(COUNTA(A283:N283)=0,"",IF(B283="","Falta el nombre",IF(C283="","Falta la cédula",IF(LEN(C283)&lt;&gt;10,"La cédula debe tener 10 dígitos",IF(F283="","Falta el tipo de plan",IF(G283="","Falta la fecha de inicio",IF(H283="","Falta la fecha de vencimiento",IF(O283&lt;=0,"El vencimiento debe ser posterior al inicio",IF(AND(F283&lt;&gt;"DIARIO",O283&lt;21),"Duración muy corta: revisar fechas",IF(O283&gt;400,"Duración mayor a 400 días: revisar fechas",IF(I283="","Falta la forma de pago",IF(L283="","Falta el monto cobrado","OK"))))))))))))</f>
        <v/>
      </c>
    </row>
    <row r="284" customFormat="false" ht="15" hidden="false" customHeight="false" outlineLevel="0" collapsed="false">
      <c r="A284" s="18"/>
      <c r="B284" s="19"/>
      <c r="C284" s="20"/>
      <c r="D284" s="20"/>
      <c r="E284" s="19"/>
      <c r="F284" s="18"/>
      <c r="G284" s="21"/>
      <c r="H284" s="21"/>
      <c r="I284" s="18"/>
      <c r="J284" s="22"/>
      <c r="K284" s="23"/>
      <c r="L284" s="23"/>
      <c r="M284" s="24"/>
      <c r="N284" s="19"/>
      <c r="O284" s="25" t="str">
        <f aca="false">IF(OR(G284="",H284=""),"",H284-G284)</f>
        <v/>
      </c>
      <c r="P284" s="26" t="str">
        <f aca="false">IF(COUNTA(A284:N284)=0,"",IF(B284="","Falta el nombre",IF(C284="","Falta la cédula",IF(LEN(C284)&lt;&gt;10,"La cédula debe tener 10 dígitos",IF(F284="","Falta el tipo de plan",IF(G284="","Falta la fecha de inicio",IF(H284="","Falta la fecha de vencimiento",IF(O284&lt;=0,"El vencimiento debe ser posterior al inicio",IF(AND(F284&lt;&gt;"DIARIO",O284&lt;21),"Duración muy corta: revisar fechas",IF(O284&gt;400,"Duración mayor a 400 días: revisar fechas",IF(I284="","Falta la forma de pago",IF(L284="","Falta el monto cobrado","OK"))))))))))))</f>
        <v/>
      </c>
    </row>
    <row r="285" customFormat="false" ht="15" hidden="false" customHeight="false" outlineLevel="0" collapsed="false">
      <c r="A285" s="18"/>
      <c r="B285" s="19"/>
      <c r="C285" s="20"/>
      <c r="D285" s="20"/>
      <c r="E285" s="19"/>
      <c r="F285" s="18"/>
      <c r="G285" s="21"/>
      <c r="H285" s="21"/>
      <c r="I285" s="18"/>
      <c r="J285" s="22"/>
      <c r="K285" s="23"/>
      <c r="L285" s="23"/>
      <c r="M285" s="24"/>
      <c r="N285" s="19"/>
      <c r="O285" s="25" t="str">
        <f aca="false">IF(OR(G285="",H285=""),"",H285-G285)</f>
        <v/>
      </c>
      <c r="P285" s="26" t="str">
        <f aca="false">IF(COUNTA(A285:N285)=0,"",IF(B285="","Falta el nombre",IF(C285="","Falta la cédula",IF(LEN(C285)&lt;&gt;10,"La cédula debe tener 10 dígitos",IF(F285="","Falta el tipo de plan",IF(G285="","Falta la fecha de inicio",IF(H285="","Falta la fecha de vencimiento",IF(O285&lt;=0,"El vencimiento debe ser posterior al inicio",IF(AND(F285&lt;&gt;"DIARIO",O285&lt;21),"Duración muy corta: revisar fechas",IF(O285&gt;400,"Duración mayor a 400 días: revisar fechas",IF(I285="","Falta la forma de pago",IF(L285="","Falta el monto cobrado","OK"))))))))))))</f>
        <v/>
      </c>
    </row>
    <row r="286" customFormat="false" ht="15" hidden="false" customHeight="false" outlineLevel="0" collapsed="false">
      <c r="A286" s="18"/>
      <c r="B286" s="19"/>
      <c r="C286" s="20"/>
      <c r="D286" s="20"/>
      <c r="E286" s="19"/>
      <c r="F286" s="18"/>
      <c r="G286" s="21"/>
      <c r="H286" s="21"/>
      <c r="I286" s="18"/>
      <c r="J286" s="22"/>
      <c r="K286" s="23"/>
      <c r="L286" s="23"/>
      <c r="M286" s="24"/>
      <c r="N286" s="19"/>
      <c r="O286" s="25" t="str">
        <f aca="false">IF(OR(G286="",H286=""),"",H286-G286)</f>
        <v/>
      </c>
      <c r="P286" s="26" t="str">
        <f aca="false">IF(COUNTA(A286:N286)=0,"",IF(B286="","Falta el nombre",IF(C286="","Falta la cédula",IF(LEN(C286)&lt;&gt;10,"La cédula debe tener 10 dígitos",IF(F286="","Falta el tipo de plan",IF(G286="","Falta la fecha de inicio",IF(H286="","Falta la fecha de vencimiento",IF(O286&lt;=0,"El vencimiento debe ser posterior al inicio",IF(AND(F286&lt;&gt;"DIARIO",O286&lt;21),"Duración muy corta: revisar fechas",IF(O286&gt;400,"Duración mayor a 400 días: revisar fechas",IF(I286="","Falta la forma de pago",IF(L286="","Falta el monto cobrado","OK"))))))))))))</f>
        <v/>
      </c>
    </row>
    <row r="287" customFormat="false" ht="15" hidden="false" customHeight="false" outlineLevel="0" collapsed="false">
      <c r="A287" s="18"/>
      <c r="B287" s="19"/>
      <c r="C287" s="20"/>
      <c r="D287" s="20"/>
      <c r="E287" s="19"/>
      <c r="F287" s="18"/>
      <c r="G287" s="21"/>
      <c r="H287" s="21"/>
      <c r="I287" s="18"/>
      <c r="J287" s="22"/>
      <c r="K287" s="23"/>
      <c r="L287" s="23"/>
      <c r="M287" s="24"/>
      <c r="N287" s="19"/>
      <c r="O287" s="25" t="str">
        <f aca="false">IF(OR(G287="",H287=""),"",H287-G287)</f>
        <v/>
      </c>
      <c r="P287" s="26" t="str">
        <f aca="false">IF(COUNTA(A287:N287)=0,"",IF(B287="","Falta el nombre",IF(C287="","Falta la cédula",IF(LEN(C287)&lt;&gt;10,"La cédula debe tener 10 dígitos",IF(F287="","Falta el tipo de plan",IF(G287="","Falta la fecha de inicio",IF(H287="","Falta la fecha de vencimiento",IF(O287&lt;=0,"El vencimiento debe ser posterior al inicio",IF(AND(F287&lt;&gt;"DIARIO",O287&lt;21),"Duración muy corta: revisar fechas",IF(O287&gt;400,"Duración mayor a 400 días: revisar fechas",IF(I287="","Falta la forma de pago",IF(L287="","Falta el monto cobrado","OK"))))))))))))</f>
        <v/>
      </c>
    </row>
    <row r="288" customFormat="false" ht="15" hidden="false" customHeight="false" outlineLevel="0" collapsed="false">
      <c r="A288" s="18"/>
      <c r="B288" s="19"/>
      <c r="C288" s="20"/>
      <c r="D288" s="20"/>
      <c r="E288" s="19"/>
      <c r="F288" s="18"/>
      <c r="G288" s="21"/>
      <c r="H288" s="21"/>
      <c r="I288" s="18"/>
      <c r="J288" s="22"/>
      <c r="K288" s="23"/>
      <c r="L288" s="23"/>
      <c r="M288" s="24"/>
      <c r="N288" s="19"/>
      <c r="O288" s="25" t="str">
        <f aca="false">IF(OR(G288="",H288=""),"",H288-G288)</f>
        <v/>
      </c>
      <c r="P288" s="26" t="str">
        <f aca="false">IF(COUNTA(A288:N288)=0,"",IF(B288="","Falta el nombre",IF(C288="","Falta la cédula",IF(LEN(C288)&lt;&gt;10,"La cédula debe tener 10 dígitos",IF(F288="","Falta el tipo de plan",IF(G288="","Falta la fecha de inicio",IF(H288="","Falta la fecha de vencimiento",IF(O288&lt;=0,"El vencimiento debe ser posterior al inicio",IF(AND(F288&lt;&gt;"DIARIO",O288&lt;21),"Duración muy corta: revisar fechas",IF(O288&gt;400,"Duración mayor a 400 días: revisar fechas",IF(I288="","Falta la forma de pago",IF(L288="","Falta el monto cobrado","OK"))))))))))))</f>
        <v/>
      </c>
    </row>
    <row r="289" customFormat="false" ht="15" hidden="false" customHeight="false" outlineLevel="0" collapsed="false">
      <c r="A289" s="18"/>
      <c r="B289" s="19"/>
      <c r="C289" s="20"/>
      <c r="D289" s="20"/>
      <c r="E289" s="19"/>
      <c r="F289" s="18"/>
      <c r="G289" s="21"/>
      <c r="H289" s="21"/>
      <c r="I289" s="18"/>
      <c r="J289" s="22"/>
      <c r="K289" s="23"/>
      <c r="L289" s="23"/>
      <c r="M289" s="24"/>
      <c r="N289" s="19"/>
      <c r="O289" s="25" t="str">
        <f aca="false">IF(OR(G289="",H289=""),"",H289-G289)</f>
        <v/>
      </c>
      <c r="P289" s="26" t="str">
        <f aca="false">IF(COUNTA(A289:N289)=0,"",IF(B289="","Falta el nombre",IF(C289="","Falta la cédula",IF(LEN(C289)&lt;&gt;10,"La cédula debe tener 10 dígitos",IF(F289="","Falta el tipo de plan",IF(G289="","Falta la fecha de inicio",IF(H289="","Falta la fecha de vencimiento",IF(O289&lt;=0,"El vencimiento debe ser posterior al inicio",IF(AND(F289&lt;&gt;"DIARIO",O289&lt;21),"Duración muy corta: revisar fechas",IF(O289&gt;400,"Duración mayor a 400 días: revisar fechas",IF(I289="","Falta la forma de pago",IF(L289="","Falta el monto cobrado","OK"))))))))))))</f>
        <v/>
      </c>
    </row>
    <row r="290" customFormat="false" ht="15" hidden="false" customHeight="false" outlineLevel="0" collapsed="false">
      <c r="A290" s="18"/>
      <c r="B290" s="19"/>
      <c r="C290" s="20"/>
      <c r="D290" s="20"/>
      <c r="E290" s="19"/>
      <c r="F290" s="18"/>
      <c r="G290" s="21"/>
      <c r="H290" s="21"/>
      <c r="I290" s="18"/>
      <c r="J290" s="22"/>
      <c r="K290" s="23"/>
      <c r="L290" s="23"/>
      <c r="M290" s="24"/>
      <c r="N290" s="19"/>
      <c r="O290" s="25" t="str">
        <f aca="false">IF(OR(G290="",H290=""),"",H290-G290)</f>
        <v/>
      </c>
      <c r="P290" s="26" t="str">
        <f aca="false">IF(COUNTA(A290:N290)=0,"",IF(B290="","Falta el nombre",IF(C290="","Falta la cédula",IF(LEN(C290)&lt;&gt;10,"La cédula debe tener 10 dígitos",IF(F290="","Falta el tipo de plan",IF(G290="","Falta la fecha de inicio",IF(H290="","Falta la fecha de vencimiento",IF(O290&lt;=0,"El vencimiento debe ser posterior al inicio",IF(AND(F290&lt;&gt;"DIARIO",O290&lt;21),"Duración muy corta: revisar fechas",IF(O290&gt;400,"Duración mayor a 400 días: revisar fechas",IF(I290="","Falta la forma de pago",IF(L290="","Falta el monto cobrado","OK"))))))))))))</f>
        <v/>
      </c>
    </row>
    <row r="291" customFormat="false" ht="15" hidden="false" customHeight="false" outlineLevel="0" collapsed="false">
      <c r="A291" s="18"/>
      <c r="B291" s="19"/>
      <c r="C291" s="20"/>
      <c r="D291" s="20"/>
      <c r="E291" s="19"/>
      <c r="F291" s="18"/>
      <c r="G291" s="21"/>
      <c r="H291" s="21"/>
      <c r="I291" s="18"/>
      <c r="J291" s="22"/>
      <c r="K291" s="23"/>
      <c r="L291" s="23"/>
      <c r="M291" s="24"/>
      <c r="N291" s="19"/>
      <c r="O291" s="25" t="str">
        <f aca="false">IF(OR(G291="",H291=""),"",H291-G291)</f>
        <v/>
      </c>
      <c r="P291" s="26" t="str">
        <f aca="false">IF(COUNTA(A291:N291)=0,"",IF(B291="","Falta el nombre",IF(C291="","Falta la cédula",IF(LEN(C291)&lt;&gt;10,"La cédula debe tener 10 dígitos",IF(F291="","Falta el tipo de plan",IF(G291="","Falta la fecha de inicio",IF(H291="","Falta la fecha de vencimiento",IF(O291&lt;=0,"El vencimiento debe ser posterior al inicio",IF(AND(F291&lt;&gt;"DIARIO",O291&lt;21),"Duración muy corta: revisar fechas",IF(O291&gt;400,"Duración mayor a 400 días: revisar fechas",IF(I291="","Falta la forma de pago",IF(L291="","Falta el monto cobrado","OK"))))))))))))</f>
        <v/>
      </c>
    </row>
    <row r="292" customFormat="false" ht="15" hidden="false" customHeight="false" outlineLevel="0" collapsed="false">
      <c r="A292" s="18"/>
      <c r="B292" s="19"/>
      <c r="C292" s="20"/>
      <c r="D292" s="20"/>
      <c r="E292" s="19"/>
      <c r="F292" s="18"/>
      <c r="G292" s="21"/>
      <c r="H292" s="21"/>
      <c r="I292" s="18"/>
      <c r="J292" s="22"/>
      <c r="K292" s="23"/>
      <c r="L292" s="23"/>
      <c r="M292" s="24"/>
      <c r="N292" s="19"/>
      <c r="O292" s="25" t="str">
        <f aca="false">IF(OR(G292="",H292=""),"",H292-G292)</f>
        <v/>
      </c>
      <c r="P292" s="26" t="str">
        <f aca="false">IF(COUNTA(A292:N292)=0,"",IF(B292="","Falta el nombre",IF(C292="","Falta la cédula",IF(LEN(C292)&lt;&gt;10,"La cédula debe tener 10 dígitos",IF(F292="","Falta el tipo de plan",IF(G292="","Falta la fecha de inicio",IF(H292="","Falta la fecha de vencimiento",IF(O292&lt;=0,"El vencimiento debe ser posterior al inicio",IF(AND(F292&lt;&gt;"DIARIO",O292&lt;21),"Duración muy corta: revisar fechas",IF(O292&gt;400,"Duración mayor a 400 días: revisar fechas",IF(I292="","Falta la forma de pago",IF(L292="","Falta el monto cobrado","OK"))))))))))))</f>
        <v/>
      </c>
    </row>
    <row r="293" customFormat="false" ht="15" hidden="false" customHeight="false" outlineLevel="0" collapsed="false">
      <c r="A293" s="18"/>
      <c r="B293" s="19"/>
      <c r="C293" s="20"/>
      <c r="D293" s="20"/>
      <c r="E293" s="19"/>
      <c r="F293" s="18"/>
      <c r="G293" s="21"/>
      <c r="H293" s="21"/>
      <c r="I293" s="18"/>
      <c r="J293" s="22"/>
      <c r="K293" s="23"/>
      <c r="L293" s="23"/>
      <c r="M293" s="24"/>
      <c r="N293" s="19"/>
      <c r="O293" s="25" t="str">
        <f aca="false">IF(OR(G293="",H293=""),"",H293-G293)</f>
        <v/>
      </c>
      <c r="P293" s="26" t="str">
        <f aca="false">IF(COUNTA(A293:N293)=0,"",IF(B293="","Falta el nombre",IF(C293="","Falta la cédula",IF(LEN(C293)&lt;&gt;10,"La cédula debe tener 10 dígitos",IF(F293="","Falta el tipo de plan",IF(G293="","Falta la fecha de inicio",IF(H293="","Falta la fecha de vencimiento",IF(O293&lt;=0,"El vencimiento debe ser posterior al inicio",IF(AND(F293&lt;&gt;"DIARIO",O293&lt;21),"Duración muy corta: revisar fechas",IF(O293&gt;400,"Duración mayor a 400 días: revisar fechas",IF(I293="","Falta la forma de pago",IF(L293="","Falta el monto cobrado","OK"))))))))))))</f>
        <v/>
      </c>
    </row>
    <row r="294" customFormat="false" ht="15" hidden="false" customHeight="false" outlineLevel="0" collapsed="false">
      <c r="A294" s="18"/>
      <c r="B294" s="19"/>
      <c r="C294" s="20"/>
      <c r="D294" s="20"/>
      <c r="E294" s="19"/>
      <c r="F294" s="18"/>
      <c r="G294" s="21"/>
      <c r="H294" s="21"/>
      <c r="I294" s="18"/>
      <c r="J294" s="22"/>
      <c r="K294" s="23"/>
      <c r="L294" s="23"/>
      <c r="M294" s="24"/>
      <c r="N294" s="19"/>
      <c r="O294" s="25" t="str">
        <f aca="false">IF(OR(G294="",H294=""),"",H294-G294)</f>
        <v/>
      </c>
      <c r="P294" s="26" t="str">
        <f aca="false">IF(COUNTA(A294:N294)=0,"",IF(B294="","Falta el nombre",IF(C294="","Falta la cédula",IF(LEN(C294)&lt;&gt;10,"La cédula debe tener 10 dígitos",IF(F294="","Falta el tipo de plan",IF(G294="","Falta la fecha de inicio",IF(H294="","Falta la fecha de vencimiento",IF(O294&lt;=0,"El vencimiento debe ser posterior al inicio",IF(AND(F294&lt;&gt;"DIARIO",O294&lt;21),"Duración muy corta: revisar fechas",IF(O294&gt;400,"Duración mayor a 400 días: revisar fechas",IF(I294="","Falta la forma de pago",IF(L294="","Falta el monto cobrado","OK"))))))))))))</f>
        <v/>
      </c>
    </row>
    <row r="295" customFormat="false" ht="15" hidden="false" customHeight="false" outlineLevel="0" collapsed="false">
      <c r="A295" s="18"/>
      <c r="B295" s="19"/>
      <c r="C295" s="20"/>
      <c r="D295" s="20"/>
      <c r="E295" s="19"/>
      <c r="F295" s="18"/>
      <c r="G295" s="21"/>
      <c r="H295" s="21"/>
      <c r="I295" s="18"/>
      <c r="J295" s="22"/>
      <c r="K295" s="23"/>
      <c r="L295" s="23"/>
      <c r="M295" s="24"/>
      <c r="N295" s="19"/>
      <c r="O295" s="25" t="str">
        <f aca="false">IF(OR(G295="",H295=""),"",H295-G295)</f>
        <v/>
      </c>
      <c r="P295" s="26" t="str">
        <f aca="false">IF(COUNTA(A295:N295)=0,"",IF(B295="","Falta el nombre",IF(C295="","Falta la cédula",IF(LEN(C295)&lt;&gt;10,"La cédula debe tener 10 dígitos",IF(F295="","Falta el tipo de plan",IF(G295="","Falta la fecha de inicio",IF(H295="","Falta la fecha de vencimiento",IF(O295&lt;=0,"El vencimiento debe ser posterior al inicio",IF(AND(F295&lt;&gt;"DIARIO",O295&lt;21),"Duración muy corta: revisar fechas",IF(O295&gt;400,"Duración mayor a 400 días: revisar fechas",IF(I295="","Falta la forma de pago",IF(L295="","Falta el monto cobrado","OK"))))))))))))</f>
        <v/>
      </c>
    </row>
    <row r="296" customFormat="false" ht="15" hidden="false" customHeight="false" outlineLevel="0" collapsed="false">
      <c r="A296" s="18"/>
      <c r="B296" s="19"/>
      <c r="C296" s="20"/>
      <c r="D296" s="20"/>
      <c r="E296" s="19"/>
      <c r="F296" s="18"/>
      <c r="G296" s="21"/>
      <c r="H296" s="21"/>
      <c r="I296" s="18"/>
      <c r="J296" s="22"/>
      <c r="K296" s="23"/>
      <c r="L296" s="23"/>
      <c r="M296" s="24"/>
      <c r="N296" s="19"/>
      <c r="O296" s="25" t="str">
        <f aca="false">IF(OR(G296="",H296=""),"",H296-G296)</f>
        <v/>
      </c>
      <c r="P296" s="26" t="str">
        <f aca="false">IF(COUNTA(A296:N296)=0,"",IF(B296="","Falta el nombre",IF(C296="","Falta la cédula",IF(LEN(C296)&lt;&gt;10,"La cédula debe tener 10 dígitos",IF(F296="","Falta el tipo de plan",IF(G296="","Falta la fecha de inicio",IF(H296="","Falta la fecha de vencimiento",IF(O296&lt;=0,"El vencimiento debe ser posterior al inicio",IF(AND(F296&lt;&gt;"DIARIO",O296&lt;21),"Duración muy corta: revisar fechas",IF(O296&gt;400,"Duración mayor a 400 días: revisar fechas",IF(I296="","Falta la forma de pago",IF(L296="","Falta el monto cobrado","OK"))))))))))))</f>
        <v/>
      </c>
    </row>
    <row r="297" customFormat="false" ht="15" hidden="false" customHeight="false" outlineLevel="0" collapsed="false">
      <c r="A297" s="18"/>
      <c r="B297" s="19"/>
      <c r="C297" s="20"/>
      <c r="D297" s="20"/>
      <c r="E297" s="19"/>
      <c r="F297" s="18"/>
      <c r="G297" s="21"/>
      <c r="H297" s="21"/>
      <c r="I297" s="18"/>
      <c r="J297" s="22"/>
      <c r="K297" s="23"/>
      <c r="L297" s="23"/>
      <c r="M297" s="24"/>
      <c r="N297" s="19"/>
      <c r="O297" s="25" t="str">
        <f aca="false">IF(OR(G297="",H297=""),"",H297-G297)</f>
        <v/>
      </c>
      <c r="P297" s="26" t="str">
        <f aca="false">IF(COUNTA(A297:N297)=0,"",IF(B297="","Falta el nombre",IF(C297="","Falta la cédula",IF(LEN(C297)&lt;&gt;10,"La cédula debe tener 10 dígitos",IF(F297="","Falta el tipo de plan",IF(G297="","Falta la fecha de inicio",IF(H297="","Falta la fecha de vencimiento",IF(O297&lt;=0,"El vencimiento debe ser posterior al inicio",IF(AND(F297&lt;&gt;"DIARIO",O297&lt;21),"Duración muy corta: revisar fechas",IF(O297&gt;400,"Duración mayor a 400 días: revisar fechas",IF(I297="","Falta la forma de pago",IF(L297="","Falta el monto cobrado","OK"))))))))))))</f>
        <v/>
      </c>
    </row>
    <row r="298" customFormat="false" ht="15" hidden="false" customHeight="false" outlineLevel="0" collapsed="false">
      <c r="A298" s="18"/>
      <c r="B298" s="19"/>
      <c r="C298" s="20"/>
      <c r="D298" s="20"/>
      <c r="E298" s="19"/>
      <c r="F298" s="18"/>
      <c r="G298" s="21"/>
      <c r="H298" s="21"/>
      <c r="I298" s="18"/>
      <c r="J298" s="22"/>
      <c r="K298" s="23"/>
      <c r="L298" s="23"/>
      <c r="M298" s="24"/>
      <c r="N298" s="19"/>
      <c r="O298" s="25" t="str">
        <f aca="false">IF(OR(G298="",H298=""),"",H298-G298)</f>
        <v/>
      </c>
      <c r="P298" s="26" t="str">
        <f aca="false">IF(COUNTA(A298:N298)=0,"",IF(B298="","Falta el nombre",IF(C298="","Falta la cédula",IF(LEN(C298)&lt;&gt;10,"La cédula debe tener 10 dígitos",IF(F298="","Falta el tipo de plan",IF(G298="","Falta la fecha de inicio",IF(H298="","Falta la fecha de vencimiento",IF(O298&lt;=0,"El vencimiento debe ser posterior al inicio",IF(AND(F298&lt;&gt;"DIARIO",O298&lt;21),"Duración muy corta: revisar fechas",IF(O298&gt;400,"Duración mayor a 400 días: revisar fechas",IF(I298="","Falta la forma de pago",IF(L298="","Falta el monto cobrado","OK"))))))))))))</f>
        <v/>
      </c>
    </row>
    <row r="299" customFormat="false" ht="15" hidden="false" customHeight="false" outlineLevel="0" collapsed="false">
      <c r="A299" s="18"/>
      <c r="B299" s="19"/>
      <c r="C299" s="20"/>
      <c r="D299" s="20"/>
      <c r="E299" s="19"/>
      <c r="F299" s="18"/>
      <c r="G299" s="21"/>
      <c r="H299" s="21"/>
      <c r="I299" s="18"/>
      <c r="J299" s="22"/>
      <c r="K299" s="23"/>
      <c r="L299" s="23"/>
      <c r="M299" s="24"/>
      <c r="N299" s="19"/>
      <c r="O299" s="25" t="str">
        <f aca="false">IF(OR(G299="",H299=""),"",H299-G299)</f>
        <v/>
      </c>
      <c r="P299" s="26" t="str">
        <f aca="false">IF(COUNTA(A299:N299)=0,"",IF(B299="","Falta el nombre",IF(C299="","Falta la cédula",IF(LEN(C299)&lt;&gt;10,"La cédula debe tener 10 dígitos",IF(F299="","Falta el tipo de plan",IF(G299="","Falta la fecha de inicio",IF(H299="","Falta la fecha de vencimiento",IF(O299&lt;=0,"El vencimiento debe ser posterior al inicio",IF(AND(F299&lt;&gt;"DIARIO",O299&lt;21),"Duración muy corta: revisar fechas",IF(O299&gt;400,"Duración mayor a 400 días: revisar fechas",IF(I299="","Falta la forma de pago",IF(L299="","Falta el monto cobrado","OK"))))))))))))</f>
        <v/>
      </c>
    </row>
    <row r="300" customFormat="false" ht="15" hidden="false" customHeight="false" outlineLevel="0" collapsed="false">
      <c r="A300" s="18"/>
      <c r="B300" s="19"/>
      <c r="C300" s="20"/>
      <c r="D300" s="20"/>
      <c r="E300" s="19"/>
      <c r="F300" s="18"/>
      <c r="G300" s="21"/>
      <c r="H300" s="21"/>
      <c r="I300" s="18"/>
      <c r="J300" s="22"/>
      <c r="K300" s="23"/>
      <c r="L300" s="23"/>
      <c r="M300" s="24"/>
      <c r="N300" s="19"/>
      <c r="O300" s="25" t="str">
        <f aca="false">IF(OR(G300="",H300=""),"",H300-G300)</f>
        <v/>
      </c>
      <c r="P300" s="26" t="str">
        <f aca="false">IF(COUNTA(A300:N300)=0,"",IF(B300="","Falta el nombre",IF(C300="","Falta la cédula",IF(LEN(C300)&lt;&gt;10,"La cédula debe tener 10 dígitos",IF(F300="","Falta el tipo de plan",IF(G300="","Falta la fecha de inicio",IF(H300="","Falta la fecha de vencimiento",IF(O300&lt;=0,"El vencimiento debe ser posterior al inicio",IF(AND(F300&lt;&gt;"DIARIO",O300&lt;21),"Duración muy corta: revisar fechas",IF(O300&gt;400,"Duración mayor a 400 días: revisar fechas",IF(I300="","Falta la forma de pago",IF(L300="","Falta el monto cobrado","OK"))))))))))))</f>
        <v/>
      </c>
    </row>
    <row r="301" customFormat="false" ht="15" hidden="false" customHeight="false" outlineLevel="0" collapsed="false">
      <c r="A301" s="18"/>
      <c r="B301" s="19"/>
      <c r="C301" s="20"/>
      <c r="D301" s="20"/>
      <c r="E301" s="19"/>
      <c r="F301" s="18"/>
      <c r="G301" s="21"/>
      <c r="H301" s="21"/>
      <c r="I301" s="18"/>
      <c r="J301" s="22"/>
      <c r="K301" s="23"/>
      <c r="L301" s="23"/>
      <c r="M301" s="24"/>
      <c r="N301" s="19"/>
      <c r="O301" s="25" t="str">
        <f aca="false">IF(OR(G301="",H301=""),"",H301-G301)</f>
        <v/>
      </c>
      <c r="P301" s="26" t="str">
        <f aca="false">IF(COUNTA(A301:N301)=0,"",IF(B301="","Falta el nombre",IF(C301="","Falta la cédula",IF(LEN(C301)&lt;&gt;10,"La cédula debe tener 10 dígitos",IF(F301="","Falta el tipo de plan",IF(G301="","Falta la fecha de inicio",IF(H301="","Falta la fecha de vencimiento",IF(O301&lt;=0,"El vencimiento debe ser posterior al inicio",IF(AND(F301&lt;&gt;"DIARIO",O301&lt;21),"Duración muy corta: revisar fechas",IF(O301&gt;400,"Duración mayor a 400 días: revisar fechas",IF(I301="","Falta la forma de pago",IF(L301="","Falta el monto cobrado","OK"))))))))))))</f>
        <v/>
      </c>
    </row>
    <row r="302" customFormat="false" ht="15" hidden="false" customHeight="false" outlineLevel="0" collapsed="false">
      <c r="A302" s="18"/>
      <c r="B302" s="19"/>
      <c r="C302" s="20"/>
      <c r="D302" s="20"/>
      <c r="E302" s="19"/>
      <c r="F302" s="18"/>
      <c r="G302" s="21"/>
      <c r="H302" s="21"/>
      <c r="I302" s="18"/>
      <c r="J302" s="22"/>
      <c r="K302" s="23"/>
      <c r="L302" s="23"/>
      <c r="M302" s="24"/>
      <c r="N302" s="19"/>
      <c r="O302" s="25" t="str">
        <f aca="false">IF(OR(G302="",H302=""),"",H302-G302)</f>
        <v/>
      </c>
      <c r="P302" s="26" t="str">
        <f aca="false">IF(COUNTA(A302:N302)=0,"",IF(B302="","Falta el nombre",IF(C302="","Falta la cédula",IF(LEN(C302)&lt;&gt;10,"La cédula debe tener 10 dígitos",IF(F302="","Falta el tipo de plan",IF(G302="","Falta la fecha de inicio",IF(H302="","Falta la fecha de vencimiento",IF(O302&lt;=0,"El vencimiento debe ser posterior al inicio",IF(AND(F302&lt;&gt;"DIARIO",O302&lt;21),"Duración muy corta: revisar fechas",IF(O302&gt;400,"Duración mayor a 400 días: revisar fechas",IF(I302="","Falta la forma de pago",IF(L302="","Falta el monto cobrado","OK"))))))))))))</f>
        <v/>
      </c>
    </row>
    <row r="303" customFormat="false" ht="15" hidden="false" customHeight="false" outlineLevel="0" collapsed="false">
      <c r="A303" s="18"/>
      <c r="B303" s="19"/>
      <c r="C303" s="20"/>
      <c r="D303" s="20"/>
      <c r="E303" s="19"/>
      <c r="F303" s="18"/>
      <c r="G303" s="21"/>
      <c r="H303" s="21"/>
      <c r="I303" s="18"/>
      <c r="J303" s="22"/>
      <c r="K303" s="23"/>
      <c r="L303" s="23"/>
      <c r="M303" s="24"/>
      <c r="N303" s="19"/>
      <c r="O303" s="25" t="str">
        <f aca="false">IF(OR(G303="",H303=""),"",H303-G303)</f>
        <v/>
      </c>
      <c r="P303" s="26" t="str">
        <f aca="false">IF(COUNTA(A303:N303)=0,"",IF(B303="","Falta el nombre",IF(C303="","Falta la cédula",IF(LEN(C303)&lt;&gt;10,"La cédula debe tener 10 dígitos",IF(F303="","Falta el tipo de plan",IF(G303="","Falta la fecha de inicio",IF(H303="","Falta la fecha de vencimiento",IF(O303&lt;=0,"El vencimiento debe ser posterior al inicio",IF(AND(F303&lt;&gt;"DIARIO",O303&lt;21),"Duración muy corta: revisar fechas",IF(O303&gt;400,"Duración mayor a 400 días: revisar fechas",IF(I303="","Falta la forma de pago",IF(L303="","Falta el monto cobrado","OK"))))))))))))</f>
        <v/>
      </c>
    </row>
    <row r="304" customFormat="false" ht="15" hidden="false" customHeight="false" outlineLevel="0" collapsed="false">
      <c r="A304" s="18"/>
      <c r="B304" s="19"/>
      <c r="C304" s="20"/>
      <c r="D304" s="20"/>
      <c r="E304" s="19"/>
      <c r="F304" s="18"/>
      <c r="G304" s="21"/>
      <c r="H304" s="21"/>
      <c r="I304" s="18"/>
      <c r="J304" s="22"/>
      <c r="K304" s="23"/>
      <c r="L304" s="23"/>
      <c r="M304" s="24"/>
      <c r="N304" s="19"/>
      <c r="O304" s="25" t="str">
        <f aca="false">IF(OR(G304="",H304=""),"",H304-G304)</f>
        <v/>
      </c>
      <c r="P304" s="26" t="str">
        <f aca="false">IF(COUNTA(A304:N304)=0,"",IF(B304="","Falta el nombre",IF(C304="","Falta la cédula",IF(LEN(C304)&lt;&gt;10,"La cédula debe tener 10 dígitos",IF(F304="","Falta el tipo de plan",IF(G304="","Falta la fecha de inicio",IF(H304="","Falta la fecha de vencimiento",IF(O304&lt;=0,"El vencimiento debe ser posterior al inicio",IF(AND(F304&lt;&gt;"DIARIO",O304&lt;21),"Duración muy corta: revisar fechas",IF(O304&gt;400,"Duración mayor a 400 días: revisar fechas",IF(I304="","Falta la forma de pago",IF(L304="","Falta el monto cobrado","OK"))))))))))))</f>
        <v/>
      </c>
    </row>
    <row r="305" customFormat="false" ht="15" hidden="false" customHeight="false" outlineLevel="0" collapsed="false">
      <c r="A305" s="18"/>
      <c r="B305" s="19"/>
      <c r="C305" s="20"/>
      <c r="D305" s="20"/>
      <c r="E305" s="19"/>
      <c r="F305" s="18"/>
      <c r="G305" s="21"/>
      <c r="H305" s="21"/>
      <c r="I305" s="18"/>
      <c r="J305" s="22"/>
      <c r="K305" s="23"/>
      <c r="L305" s="23"/>
      <c r="M305" s="24"/>
      <c r="N305" s="19"/>
      <c r="O305" s="25" t="str">
        <f aca="false">IF(OR(G305="",H305=""),"",H305-G305)</f>
        <v/>
      </c>
      <c r="P305" s="26" t="str">
        <f aca="false">IF(COUNTA(A305:N305)=0,"",IF(B305="","Falta el nombre",IF(C305="","Falta la cédula",IF(LEN(C305)&lt;&gt;10,"La cédula debe tener 10 dígitos",IF(F305="","Falta el tipo de plan",IF(G305="","Falta la fecha de inicio",IF(H305="","Falta la fecha de vencimiento",IF(O305&lt;=0,"El vencimiento debe ser posterior al inicio",IF(AND(F305&lt;&gt;"DIARIO",O305&lt;21),"Duración muy corta: revisar fechas",IF(O305&gt;400,"Duración mayor a 400 días: revisar fechas",IF(I305="","Falta la forma de pago",IF(L305="","Falta el monto cobrado","OK"))))))))))))</f>
        <v/>
      </c>
    </row>
    <row r="306" customFormat="false" ht="15" hidden="false" customHeight="false" outlineLevel="0" collapsed="false">
      <c r="A306" s="18"/>
      <c r="B306" s="19"/>
      <c r="C306" s="20"/>
      <c r="D306" s="20"/>
      <c r="E306" s="19"/>
      <c r="F306" s="18"/>
      <c r="G306" s="21"/>
      <c r="H306" s="21"/>
      <c r="I306" s="18"/>
      <c r="J306" s="22"/>
      <c r="K306" s="23"/>
      <c r="L306" s="23"/>
      <c r="M306" s="24"/>
      <c r="N306" s="19"/>
      <c r="O306" s="25" t="str">
        <f aca="false">IF(OR(G306="",H306=""),"",H306-G306)</f>
        <v/>
      </c>
      <c r="P306" s="26" t="str">
        <f aca="false">IF(COUNTA(A306:N306)=0,"",IF(B306="","Falta el nombre",IF(C306="","Falta la cédula",IF(LEN(C306)&lt;&gt;10,"La cédula debe tener 10 dígitos",IF(F306="","Falta el tipo de plan",IF(G306="","Falta la fecha de inicio",IF(H306="","Falta la fecha de vencimiento",IF(O306&lt;=0,"El vencimiento debe ser posterior al inicio",IF(AND(F306&lt;&gt;"DIARIO",O306&lt;21),"Duración muy corta: revisar fechas",IF(O306&gt;400,"Duración mayor a 400 días: revisar fechas",IF(I306="","Falta la forma de pago",IF(L306="","Falta el monto cobrado","OK"))))))))))))</f>
        <v/>
      </c>
    </row>
    <row r="307" customFormat="false" ht="15" hidden="false" customHeight="false" outlineLevel="0" collapsed="false">
      <c r="A307" s="18"/>
      <c r="B307" s="19"/>
      <c r="C307" s="20"/>
      <c r="D307" s="20"/>
      <c r="E307" s="19"/>
      <c r="F307" s="18"/>
      <c r="G307" s="21"/>
      <c r="H307" s="21"/>
      <c r="I307" s="18"/>
      <c r="J307" s="22"/>
      <c r="K307" s="23"/>
      <c r="L307" s="23"/>
      <c r="M307" s="24"/>
      <c r="N307" s="19"/>
      <c r="O307" s="25" t="str">
        <f aca="false">IF(OR(G307="",H307=""),"",H307-G307)</f>
        <v/>
      </c>
      <c r="P307" s="26" t="str">
        <f aca="false">IF(COUNTA(A307:N307)=0,"",IF(B307="","Falta el nombre",IF(C307="","Falta la cédula",IF(LEN(C307)&lt;&gt;10,"La cédula debe tener 10 dígitos",IF(F307="","Falta el tipo de plan",IF(G307="","Falta la fecha de inicio",IF(H307="","Falta la fecha de vencimiento",IF(O307&lt;=0,"El vencimiento debe ser posterior al inicio",IF(AND(F307&lt;&gt;"DIARIO",O307&lt;21),"Duración muy corta: revisar fechas",IF(O307&gt;400,"Duración mayor a 400 días: revisar fechas",IF(I307="","Falta la forma de pago",IF(L307="","Falta el monto cobrado","OK"))))))))))))</f>
        <v/>
      </c>
    </row>
    <row r="308" customFormat="false" ht="15" hidden="false" customHeight="false" outlineLevel="0" collapsed="false">
      <c r="A308" s="18"/>
      <c r="B308" s="19"/>
      <c r="C308" s="20"/>
      <c r="D308" s="20"/>
      <c r="E308" s="19"/>
      <c r="F308" s="18"/>
      <c r="G308" s="21"/>
      <c r="H308" s="21"/>
      <c r="I308" s="18"/>
      <c r="J308" s="22"/>
      <c r="K308" s="23"/>
      <c r="L308" s="23"/>
      <c r="M308" s="24"/>
      <c r="N308" s="19"/>
      <c r="O308" s="25" t="str">
        <f aca="false">IF(OR(G308="",H308=""),"",H308-G308)</f>
        <v/>
      </c>
      <c r="P308" s="26" t="str">
        <f aca="false">IF(COUNTA(A308:N308)=0,"",IF(B308="","Falta el nombre",IF(C308="","Falta la cédula",IF(LEN(C308)&lt;&gt;10,"La cédula debe tener 10 dígitos",IF(F308="","Falta el tipo de plan",IF(G308="","Falta la fecha de inicio",IF(H308="","Falta la fecha de vencimiento",IF(O308&lt;=0,"El vencimiento debe ser posterior al inicio",IF(AND(F308&lt;&gt;"DIARIO",O308&lt;21),"Duración muy corta: revisar fechas",IF(O308&gt;400,"Duración mayor a 400 días: revisar fechas",IF(I308="","Falta la forma de pago",IF(L308="","Falta el monto cobrado","OK"))))))))))))</f>
        <v/>
      </c>
    </row>
    <row r="309" customFormat="false" ht="15" hidden="false" customHeight="false" outlineLevel="0" collapsed="false">
      <c r="A309" s="18"/>
      <c r="B309" s="19"/>
      <c r="C309" s="20"/>
      <c r="D309" s="20"/>
      <c r="E309" s="19"/>
      <c r="F309" s="18"/>
      <c r="G309" s="21"/>
      <c r="H309" s="21"/>
      <c r="I309" s="18"/>
      <c r="J309" s="22"/>
      <c r="K309" s="23"/>
      <c r="L309" s="23"/>
      <c r="M309" s="24"/>
      <c r="N309" s="19"/>
      <c r="O309" s="25" t="str">
        <f aca="false">IF(OR(G309="",H309=""),"",H309-G309)</f>
        <v/>
      </c>
      <c r="P309" s="26" t="str">
        <f aca="false">IF(COUNTA(A309:N309)=0,"",IF(B309="","Falta el nombre",IF(C309="","Falta la cédula",IF(LEN(C309)&lt;&gt;10,"La cédula debe tener 10 dígitos",IF(F309="","Falta el tipo de plan",IF(G309="","Falta la fecha de inicio",IF(H309="","Falta la fecha de vencimiento",IF(O309&lt;=0,"El vencimiento debe ser posterior al inicio",IF(AND(F309&lt;&gt;"DIARIO",O309&lt;21),"Duración muy corta: revisar fechas",IF(O309&gt;400,"Duración mayor a 400 días: revisar fechas",IF(I309="","Falta la forma de pago",IF(L309="","Falta el monto cobrado","OK"))))))))))))</f>
        <v/>
      </c>
    </row>
    <row r="310" customFormat="false" ht="15" hidden="false" customHeight="false" outlineLevel="0" collapsed="false">
      <c r="A310" s="18"/>
      <c r="B310" s="19"/>
      <c r="C310" s="20"/>
      <c r="D310" s="20"/>
      <c r="E310" s="19"/>
      <c r="F310" s="18"/>
      <c r="G310" s="21"/>
      <c r="H310" s="21"/>
      <c r="I310" s="18"/>
      <c r="J310" s="22"/>
      <c r="K310" s="23"/>
      <c r="L310" s="23"/>
      <c r="M310" s="24"/>
      <c r="N310" s="19"/>
      <c r="O310" s="25" t="str">
        <f aca="false">IF(OR(G310="",H310=""),"",H310-G310)</f>
        <v/>
      </c>
      <c r="P310" s="26" t="str">
        <f aca="false">IF(COUNTA(A310:N310)=0,"",IF(B310="","Falta el nombre",IF(C310="","Falta la cédula",IF(LEN(C310)&lt;&gt;10,"La cédula debe tener 10 dígitos",IF(F310="","Falta el tipo de plan",IF(G310="","Falta la fecha de inicio",IF(H310="","Falta la fecha de vencimiento",IF(O310&lt;=0,"El vencimiento debe ser posterior al inicio",IF(AND(F310&lt;&gt;"DIARIO",O310&lt;21),"Duración muy corta: revisar fechas",IF(O310&gt;400,"Duración mayor a 400 días: revisar fechas",IF(I310="","Falta la forma de pago",IF(L310="","Falta el monto cobrado","OK"))))))))))))</f>
        <v/>
      </c>
    </row>
    <row r="311" customFormat="false" ht="15" hidden="false" customHeight="false" outlineLevel="0" collapsed="false">
      <c r="A311" s="18"/>
      <c r="B311" s="19"/>
      <c r="C311" s="20"/>
      <c r="D311" s="20"/>
      <c r="E311" s="19"/>
      <c r="F311" s="18"/>
      <c r="G311" s="21"/>
      <c r="H311" s="21"/>
      <c r="I311" s="18"/>
      <c r="J311" s="22"/>
      <c r="K311" s="23"/>
      <c r="L311" s="23"/>
      <c r="M311" s="24"/>
      <c r="N311" s="19"/>
      <c r="O311" s="25" t="str">
        <f aca="false">IF(OR(G311="",H311=""),"",H311-G311)</f>
        <v/>
      </c>
      <c r="P311" s="26" t="str">
        <f aca="false">IF(COUNTA(A311:N311)=0,"",IF(B311="","Falta el nombre",IF(C311="","Falta la cédula",IF(LEN(C311)&lt;&gt;10,"La cédula debe tener 10 dígitos",IF(F311="","Falta el tipo de plan",IF(G311="","Falta la fecha de inicio",IF(H311="","Falta la fecha de vencimiento",IF(O311&lt;=0,"El vencimiento debe ser posterior al inicio",IF(AND(F311&lt;&gt;"DIARIO",O311&lt;21),"Duración muy corta: revisar fechas",IF(O311&gt;400,"Duración mayor a 400 días: revisar fechas",IF(I311="","Falta la forma de pago",IF(L311="","Falta el monto cobrado","OK"))))))))))))</f>
        <v/>
      </c>
    </row>
    <row r="312" customFormat="false" ht="15" hidden="false" customHeight="false" outlineLevel="0" collapsed="false">
      <c r="A312" s="18"/>
      <c r="B312" s="19"/>
      <c r="C312" s="20"/>
      <c r="D312" s="20"/>
      <c r="E312" s="19"/>
      <c r="F312" s="18"/>
      <c r="G312" s="21"/>
      <c r="H312" s="21"/>
      <c r="I312" s="18"/>
      <c r="J312" s="22"/>
      <c r="K312" s="23"/>
      <c r="L312" s="23"/>
      <c r="M312" s="24"/>
      <c r="N312" s="19"/>
      <c r="O312" s="25" t="str">
        <f aca="false">IF(OR(G312="",H312=""),"",H312-G312)</f>
        <v/>
      </c>
      <c r="P312" s="26" t="str">
        <f aca="false">IF(COUNTA(A312:N312)=0,"",IF(B312="","Falta el nombre",IF(C312="","Falta la cédula",IF(LEN(C312)&lt;&gt;10,"La cédula debe tener 10 dígitos",IF(F312="","Falta el tipo de plan",IF(G312="","Falta la fecha de inicio",IF(H312="","Falta la fecha de vencimiento",IF(O312&lt;=0,"El vencimiento debe ser posterior al inicio",IF(AND(F312&lt;&gt;"DIARIO",O312&lt;21),"Duración muy corta: revisar fechas",IF(O312&gt;400,"Duración mayor a 400 días: revisar fechas",IF(I312="","Falta la forma de pago",IF(L312="","Falta el monto cobrado","OK"))))))))))))</f>
        <v/>
      </c>
    </row>
    <row r="313" customFormat="false" ht="15" hidden="false" customHeight="false" outlineLevel="0" collapsed="false">
      <c r="A313" s="18"/>
      <c r="B313" s="19"/>
      <c r="C313" s="20"/>
      <c r="D313" s="20"/>
      <c r="E313" s="19"/>
      <c r="F313" s="18"/>
      <c r="G313" s="21"/>
      <c r="H313" s="21"/>
      <c r="I313" s="18"/>
      <c r="J313" s="22"/>
      <c r="K313" s="23"/>
      <c r="L313" s="23"/>
      <c r="M313" s="24"/>
      <c r="N313" s="19"/>
      <c r="O313" s="25" t="str">
        <f aca="false">IF(OR(G313="",H313=""),"",H313-G313)</f>
        <v/>
      </c>
      <c r="P313" s="26" t="str">
        <f aca="false">IF(COUNTA(A313:N313)=0,"",IF(B313="","Falta el nombre",IF(C313="","Falta la cédula",IF(LEN(C313)&lt;&gt;10,"La cédula debe tener 10 dígitos",IF(F313="","Falta el tipo de plan",IF(G313="","Falta la fecha de inicio",IF(H313="","Falta la fecha de vencimiento",IF(O313&lt;=0,"El vencimiento debe ser posterior al inicio",IF(AND(F313&lt;&gt;"DIARIO",O313&lt;21),"Duración muy corta: revisar fechas",IF(O313&gt;400,"Duración mayor a 400 días: revisar fechas",IF(I313="","Falta la forma de pago",IF(L313="","Falta el monto cobrado","OK"))))))))))))</f>
        <v/>
      </c>
    </row>
    <row r="314" customFormat="false" ht="15" hidden="false" customHeight="false" outlineLevel="0" collapsed="false">
      <c r="A314" s="18"/>
      <c r="B314" s="19"/>
      <c r="C314" s="20"/>
      <c r="D314" s="20"/>
      <c r="E314" s="19"/>
      <c r="F314" s="18"/>
      <c r="G314" s="21"/>
      <c r="H314" s="21"/>
      <c r="I314" s="18"/>
      <c r="J314" s="22"/>
      <c r="K314" s="23"/>
      <c r="L314" s="23"/>
      <c r="M314" s="24"/>
      <c r="N314" s="19"/>
      <c r="O314" s="25" t="str">
        <f aca="false">IF(OR(G314="",H314=""),"",H314-G314)</f>
        <v/>
      </c>
      <c r="P314" s="26" t="str">
        <f aca="false">IF(COUNTA(A314:N314)=0,"",IF(B314="","Falta el nombre",IF(C314="","Falta la cédula",IF(LEN(C314)&lt;&gt;10,"La cédula debe tener 10 dígitos",IF(F314="","Falta el tipo de plan",IF(G314="","Falta la fecha de inicio",IF(H314="","Falta la fecha de vencimiento",IF(O314&lt;=0,"El vencimiento debe ser posterior al inicio",IF(AND(F314&lt;&gt;"DIARIO",O314&lt;21),"Duración muy corta: revisar fechas",IF(O314&gt;400,"Duración mayor a 400 días: revisar fechas",IF(I314="","Falta la forma de pago",IF(L314="","Falta el monto cobrado","OK"))))))))))))</f>
        <v/>
      </c>
    </row>
    <row r="315" customFormat="false" ht="15" hidden="false" customHeight="false" outlineLevel="0" collapsed="false">
      <c r="A315" s="18"/>
      <c r="B315" s="19"/>
      <c r="C315" s="20"/>
      <c r="D315" s="20"/>
      <c r="E315" s="19"/>
      <c r="F315" s="18"/>
      <c r="G315" s="21"/>
      <c r="H315" s="21"/>
      <c r="I315" s="18"/>
      <c r="J315" s="22"/>
      <c r="K315" s="23"/>
      <c r="L315" s="23"/>
      <c r="M315" s="24"/>
      <c r="N315" s="19"/>
      <c r="O315" s="25" t="str">
        <f aca="false">IF(OR(G315="",H315=""),"",H315-G315)</f>
        <v/>
      </c>
      <c r="P315" s="26" t="str">
        <f aca="false">IF(COUNTA(A315:N315)=0,"",IF(B315="","Falta el nombre",IF(C315="","Falta la cédula",IF(LEN(C315)&lt;&gt;10,"La cédula debe tener 10 dígitos",IF(F315="","Falta el tipo de plan",IF(G315="","Falta la fecha de inicio",IF(H315="","Falta la fecha de vencimiento",IF(O315&lt;=0,"El vencimiento debe ser posterior al inicio",IF(AND(F315&lt;&gt;"DIARIO",O315&lt;21),"Duración muy corta: revisar fechas",IF(O315&gt;400,"Duración mayor a 400 días: revisar fechas",IF(I315="","Falta la forma de pago",IF(L315="","Falta el monto cobrado","OK"))))))))))))</f>
        <v/>
      </c>
    </row>
    <row r="316" customFormat="false" ht="15" hidden="false" customHeight="false" outlineLevel="0" collapsed="false">
      <c r="A316" s="18"/>
      <c r="B316" s="19"/>
      <c r="C316" s="20"/>
      <c r="D316" s="20"/>
      <c r="E316" s="19"/>
      <c r="F316" s="18"/>
      <c r="G316" s="21"/>
      <c r="H316" s="21"/>
      <c r="I316" s="18"/>
      <c r="J316" s="22"/>
      <c r="K316" s="23"/>
      <c r="L316" s="23"/>
      <c r="M316" s="24"/>
      <c r="N316" s="19"/>
      <c r="O316" s="25" t="str">
        <f aca="false">IF(OR(G316="",H316=""),"",H316-G316)</f>
        <v/>
      </c>
      <c r="P316" s="26" t="str">
        <f aca="false">IF(COUNTA(A316:N316)=0,"",IF(B316="","Falta el nombre",IF(C316="","Falta la cédula",IF(LEN(C316)&lt;&gt;10,"La cédula debe tener 10 dígitos",IF(F316="","Falta el tipo de plan",IF(G316="","Falta la fecha de inicio",IF(H316="","Falta la fecha de vencimiento",IF(O316&lt;=0,"El vencimiento debe ser posterior al inicio",IF(AND(F316&lt;&gt;"DIARIO",O316&lt;21),"Duración muy corta: revisar fechas",IF(O316&gt;400,"Duración mayor a 400 días: revisar fechas",IF(I316="","Falta la forma de pago",IF(L316="","Falta el monto cobrado","OK"))))))))))))</f>
        <v/>
      </c>
    </row>
    <row r="317" customFormat="false" ht="15" hidden="false" customHeight="false" outlineLevel="0" collapsed="false">
      <c r="A317" s="18"/>
      <c r="B317" s="19"/>
      <c r="C317" s="20"/>
      <c r="D317" s="20"/>
      <c r="E317" s="19"/>
      <c r="F317" s="18"/>
      <c r="G317" s="21"/>
      <c r="H317" s="21"/>
      <c r="I317" s="18"/>
      <c r="J317" s="22"/>
      <c r="K317" s="23"/>
      <c r="L317" s="23"/>
      <c r="M317" s="24"/>
      <c r="N317" s="19"/>
      <c r="O317" s="25" t="str">
        <f aca="false">IF(OR(G317="",H317=""),"",H317-G317)</f>
        <v/>
      </c>
      <c r="P317" s="26" t="str">
        <f aca="false">IF(COUNTA(A317:N317)=0,"",IF(B317="","Falta el nombre",IF(C317="","Falta la cédula",IF(LEN(C317)&lt;&gt;10,"La cédula debe tener 10 dígitos",IF(F317="","Falta el tipo de plan",IF(G317="","Falta la fecha de inicio",IF(H317="","Falta la fecha de vencimiento",IF(O317&lt;=0,"El vencimiento debe ser posterior al inicio",IF(AND(F317&lt;&gt;"DIARIO",O317&lt;21),"Duración muy corta: revisar fechas",IF(O317&gt;400,"Duración mayor a 400 días: revisar fechas",IF(I317="","Falta la forma de pago",IF(L317="","Falta el monto cobrado","OK"))))))))))))</f>
        <v/>
      </c>
    </row>
    <row r="318" customFormat="false" ht="15" hidden="false" customHeight="false" outlineLevel="0" collapsed="false">
      <c r="A318" s="18"/>
      <c r="B318" s="19"/>
      <c r="C318" s="20"/>
      <c r="D318" s="20"/>
      <c r="E318" s="19"/>
      <c r="F318" s="18"/>
      <c r="G318" s="21"/>
      <c r="H318" s="21"/>
      <c r="I318" s="18"/>
      <c r="J318" s="22"/>
      <c r="K318" s="23"/>
      <c r="L318" s="23"/>
      <c r="M318" s="24"/>
      <c r="N318" s="19"/>
      <c r="O318" s="25" t="str">
        <f aca="false">IF(OR(G318="",H318=""),"",H318-G318)</f>
        <v/>
      </c>
      <c r="P318" s="26" t="str">
        <f aca="false">IF(COUNTA(A318:N318)=0,"",IF(B318="","Falta el nombre",IF(C318="","Falta la cédula",IF(LEN(C318)&lt;&gt;10,"La cédula debe tener 10 dígitos",IF(F318="","Falta el tipo de plan",IF(G318="","Falta la fecha de inicio",IF(H318="","Falta la fecha de vencimiento",IF(O318&lt;=0,"El vencimiento debe ser posterior al inicio",IF(AND(F318&lt;&gt;"DIARIO",O318&lt;21),"Duración muy corta: revisar fechas",IF(O318&gt;400,"Duración mayor a 400 días: revisar fechas",IF(I318="","Falta la forma de pago",IF(L318="","Falta el monto cobrado","OK"))))))))))))</f>
        <v/>
      </c>
    </row>
    <row r="319" customFormat="false" ht="15" hidden="false" customHeight="false" outlineLevel="0" collapsed="false">
      <c r="A319" s="18"/>
      <c r="B319" s="19"/>
      <c r="C319" s="20"/>
      <c r="D319" s="20"/>
      <c r="E319" s="19"/>
      <c r="F319" s="18"/>
      <c r="G319" s="21"/>
      <c r="H319" s="21"/>
      <c r="I319" s="18"/>
      <c r="J319" s="22"/>
      <c r="K319" s="23"/>
      <c r="L319" s="23"/>
      <c r="M319" s="24"/>
      <c r="N319" s="19"/>
      <c r="O319" s="25" t="str">
        <f aca="false">IF(OR(G319="",H319=""),"",H319-G319)</f>
        <v/>
      </c>
      <c r="P319" s="26" t="str">
        <f aca="false">IF(COUNTA(A319:N319)=0,"",IF(B319="","Falta el nombre",IF(C319="","Falta la cédula",IF(LEN(C319)&lt;&gt;10,"La cédula debe tener 10 dígitos",IF(F319="","Falta el tipo de plan",IF(G319="","Falta la fecha de inicio",IF(H319="","Falta la fecha de vencimiento",IF(O319&lt;=0,"El vencimiento debe ser posterior al inicio",IF(AND(F319&lt;&gt;"DIARIO",O319&lt;21),"Duración muy corta: revisar fechas",IF(O319&gt;400,"Duración mayor a 400 días: revisar fechas",IF(I319="","Falta la forma de pago",IF(L319="","Falta el monto cobrado","OK"))))))))))))</f>
        <v/>
      </c>
    </row>
    <row r="320" customFormat="false" ht="15" hidden="false" customHeight="false" outlineLevel="0" collapsed="false">
      <c r="A320" s="18"/>
      <c r="B320" s="19"/>
      <c r="C320" s="20"/>
      <c r="D320" s="20"/>
      <c r="E320" s="19"/>
      <c r="F320" s="18"/>
      <c r="G320" s="21"/>
      <c r="H320" s="21"/>
      <c r="I320" s="18"/>
      <c r="J320" s="22"/>
      <c r="K320" s="23"/>
      <c r="L320" s="23"/>
      <c r="M320" s="24"/>
      <c r="N320" s="19"/>
      <c r="O320" s="25" t="str">
        <f aca="false">IF(OR(G320="",H320=""),"",H320-G320)</f>
        <v/>
      </c>
      <c r="P320" s="26" t="str">
        <f aca="false">IF(COUNTA(A320:N320)=0,"",IF(B320="","Falta el nombre",IF(C320="","Falta la cédula",IF(LEN(C320)&lt;&gt;10,"La cédula debe tener 10 dígitos",IF(F320="","Falta el tipo de plan",IF(G320="","Falta la fecha de inicio",IF(H320="","Falta la fecha de vencimiento",IF(O320&lt;=0,"El vencimiento debe ser posterior al inicio",IF(AND(F320&lt;&gt;"DIARIO",O320&lt;21),"Duración muy corta: revisar fechas",IF(O320&gt;400,"Duración mayor a 400 días: revisar fechas",IF(I320="","Falta la forma de pago",IF(L320="","Falta el monto cobrado","OK"))))))))))))</f>
        <v/>
      </c>
    </row>
    <row r="321" customFormat="false" ht="15" hidden="false" customHeight="false" outlineLevel="0" collapsed="false">
      <c r="A321" s="18"/>
      <c r="B321" s="19"/>
      <c r="C321" s="20"/>
      <c r="D321" s="20"/>
      <c r="E321" s="19"/>
      <c r="F321" s="18"/>
      <c r="G321" s="21"/>
      <c r="H321" s="21"/>
      <c r="I321" s="18"/>
      <c r="J321" s="22"/>
      <c r="K321" s="23"/>
      <c r="L321" s="23"/>
      <c r="M321" s="24"/>
      <c r="N321" s="19"/>
      <c r="O321" s="25" t="str">
        <f aca="false">IF(OR(G321="",H321=""),"",H321-G321)</f>
        <v/>
      </c>
      <c r="P321" s="26" t="str">
        <f aca="false">IF(COUNTA(A321:N321)=0,"",IF(B321="","Falta el nombre",IF(C321="","Falta la cédula",IF(LEN(C321)&lt;&gt;10,"La cédula debe tener 10 dígitos",IF(F321="","Falta el tipo de plan",IF(G321="","Falta la fecha de inicio",IF(H321="","Falta la fecha de vencimiento",IF(O321&lt;=0,"El vencimiento debe ser posterior al inicio",IF(AND(F321&lt;&gt;"DIARIO",O321&lt;21),"Duración muy corta: revisar fechas",IF(O321&gt;400,"Duración mayor a 400 días: revisar fechas",IF(I321="","Falta la forma de pago",IF(L321="","Falta el monto cobrado","OK"))))))))))))</f>
        <v/>
      </c>
    </row>
    <row r="322" customFormat="false" ht="15" hidden="false" customHeight="false" outlineLevel="0" collapsed="false">
      <c r="A322" s="18"/>
      <c r="B322" s="19"/>
      <c r="C322" s="20"/>
      <c r="D322" s="20"/>
      <c r="E322" s="19"/>
      <c r="F322" s="18"/>
      <c r="G322" s="21"/>
      <c r="H322" s="21"/>
      <c r="I322" s="18"/>
      <c r="J322" s="22"/>
      <c r="K322" s="23"/>
      <c r="L322" s="23"/>
      <c r="M322" s="24"/>
      <c r="N322" s="19"/>
      <c r="O322" s="25" t="str">
        <f aca="false">IF(OR(G322="",H322=""),"",H322-G322)</f>
        <v/>
      </c>
      <c r="P322" s="26" t="str">
        <f aca="false">IF(COUNTA(A322:N322)=0,"",IF(B322="","Falta el nombre",IF(C322="","Falta la cédula",IF(LEN(C322)&lt;&gt;10,"La cédula debe tener 10 dígitos",IF(F322="","Falta el tipo de plan",IF(G322="","Falta la fecha de inicio",IF(H322="","Falta la fecha de vencimiento",IF(O322&lt;=0,"El vencimiento debe ser posterior al inicio",IF(AND(F322&lt;&gt;"DIARIO",O322&lt;21),"Duración muy corta: revisar fechas",IF(O322&gt;400,"Duración mayor a 400 días: revisar fechas",IF(I322="","Falta la forma de pago",IF(L322="","Falta el monto cobrado","OK"))))))))))))</f>
        <v/>
      </c>
    </row>
    <row r="323" customFormat="false" ht="15" hidden="false" customHeight="false" outlineLevel="0" collapsed="false">
      <c r="A323" s="18"/>
      <c r="B323" s="19"/>
      <c r="C323" s="20"/>
      <c r="D323" s="20"/>
      <c r="E323" s="19"/>
      <c r="F323" s="18"/>
      <c r="G323" s="21"/>
      <c r="H323" s="21"/>
      <c r="I323" s="18"/>
      <c r="J323" s="22"/>
      <c r="K323" s="23"/>
      <c r="L323" s="23"/>
      <c r="M323" s="24"/>
      <c r="N323" s="19"/>
      <c r="O323" s="25" t="str">
        <f aca="false">IF(OR(G323="",H323=""),"",H323-G323)</f>
        <v/>
      </c>
      <c r="P323" s="26" t="str">
        <f aca="false">IF(COUNTA(A323:N323)=0,"",IF(B323="","Falta el nombre",IF(C323="","Falta la cédula",IF(LEN(C323)&lt;&gt;10,"La cédula debe tener 10 dígitos",IF(F323="","Falta el tipo de plan",IF(G323="","Falta la fecha de inicio",IF(H323="","Falta la fecha de vencimiento",IF(O323&lt;=0,"El vencimiento debe ser posterior al inicio",IF(AND(F323&lt;&gt;"DIARIO",O323&lt;21),"Duración muy corta: revisar fechas",IF(O323&gt;400,"Duración mayor a 400 días: revisar fechas",IF(I323="","Falta la forma de pago",IF(L323="","Falta el monto cobrado","OK"))))))))))))</f>
        <v/>
      </c>
    </row>
    <row r="324" customFormat="false" ht="15" hidden="false" customHeight="false" outlineLevel="0" collapsed="false">
      <c r="A324" s="18"/>
      <c r="B324" s="19"/>
      <c r="C324" s="20"/>
      <c r="D324" s="20"/>
      <c r="E324" s="19"/>
      <c r="F324" s="18"/>
      <c r="G324" s="21"/>
      <c r="H324" s="21"/>
      <c r="I324" s="18"/>
      <c r="J324" s="22"/>
      <c r="K324" s="23"/>
      <c r="L324" s="23"/>
      <c r="M324" s="24"/>
      <c r="N324" s="19"/>
      <c r="O324" s="25" t="str">
        <f aca="false">IF(OR(G324="",H324=""),"",H324-G324)</f>
        <v/>
      </c>
      <c r="P324" s="26" t="str">
        <f aca="false">IF(COUNTA(A324:N324)=0,"",IF(B324="","Falta el nombre",IF(C324="","Falta la cédula",IF(LEN(C324)&lt;&gt;10,"La cédula debe tener 10 dígitos",IF(F324="","Falta el tipo de plan",IF(G324="","Falta la fecha de inicio",IF(H324="","Falta la fecha de vencimiento",IF(O324&lt;=0,"El vencimiento debe ser posterior al inicio",IF(AND(F324&lt;&gt;"DIARIO",O324&lt;21),"Duración muy corta: revisar fechas",IF(O324&gt;400,"Duración mayor a 400 días: revisar fechas",IF(I324="","Falta la forma de pago",IF(L324="","Falta el monto cobrado","OK"))))))))))))</f>
        <v/>
      </c>
    </row>
    <row r="325" customFormat="false" ht="15" hidden="false" customHeight="false" outlineLevel="0" collapsed="false">
      <c r="A325" s="18"/>
      <c r="B325" s="19"/>
      <c r="C325" s="20"/>
      <c r="D325" s="20"/>
      <c r="E325" s="19"/>
      <c r="F325" s="18"/>
      <c r="G325" s="21"/>
      <c r="H325" s="21"/>
      <c r="I325" s="18"/>
      <c r="J325" s="22"/>
      <c r="K325" s="23"/>
      <c r="L325" s="23"/>
      <c r="M325" s="24"/>
      <c r="N325" s="19"/>
      <c r="O325" s="25" t="str">
        <f aca="false">IF(OR(G325="",H325=""),"",H325-G325)</f>
        <v/>
      </c>
      <c r="P325" s="26" t="str">
        <f aca="false">IF(COUNTA(A325:N325)=0,"",IF(B325="","Falta el nombre",IF(C325="","Falta la cédula",IF(LEN(C325)&lt;&gt;10,"La cédula debe tener 10 dígitos",IF(F325="","Falta el tipo de plan",IF(G325="","Falta la fecha de inicio",IF(H325="","Falta la fecha de vencimiento",IF(O325&lt;=0,"El vencimiento debe ser posterior al inicio",IF(AND(F325&lt;&gt;"DIARIO",O325&lt;21),"Duración muy corta: revisar fechas",IF(O325&gt;400,"Duración mayor a 400 días: revisar fechas",IF(I325="","Falta la forma de pago",IF(L325="","Falta el monto cobrado","OK"))))))))))))</f>
        <v/>
      </c>
    </row>
    <row r="326" customFormat="false" ht="15" hidden="false" customHeight="false" outlineLevel="0" collapsed="false">
      <c r="A326" s="18"/>
      <c r="B326" s="19"/>
      <c r="C326" s="20"/>
      <c r="D326" s="20"/>
      <c r="E326" s="19"/>
      <c r="F326" s="18"/>
      <c r="G326" s="21"/>
      <c r="H326" s="21"/>
      <c r="I326" s="18"/>
      <c r="J326" s="22"/>
      <c r="K326" s="23"/>
      <c r="L326" s="23"/>
      <c r="M326" s="24"/>
      <c r="N326" s="19"/>
      <c r="O326" s="25" t="str">
        <f aca="false">IF(OR(G326="",H326=""),"",H326-G326)</f>
        <v/>
      </c>
      <c r="P326" s="26" t="str">
        <f aca="false">IF(COUNTA(A326:N326)=0,"",IF(B326="","Falta el nombre",IF(C326="","Falta la cédula",IF(LEN(C326)&lt;&gt;10,"La cédula debe tener 10 dígitos",IF(F326="","Falta el tipo de plan",IF(G326="","Falta la fecha de inicio",IF(H326="","Falta la fecha de vencimiento",IF(O326&lt;=0,"El vencimiento debe ser posterior al inicio",IF(AND(F326&lt;&gt;"DIARIO",O326&lt;21),"Duración muy corta: revisar fechas",IF(O326&gt;400,"Duración mayor a 400 días: revisar fechas",IF(I326="","Falta la forma de pago",IF(L326="","Falta el monto cobrado","OK"))))))))))))</f>
        <v/>
      </c>
    </row>
    <row r="327" customFormat="false" ht="15" hidden="false" customHeight="false" outlineLevel="0" collapsed="false">
      <c r="A327" s="18"/>
      <c r="B327" s="19"/>
      <c r="C327" s="20"/>
      <c r="D327" s="20"/>
      <c r="E327" s="19"/>
      <c r="F327" s="18"/>
      <c r="G327" s="21"/>
      <c r="H327" s="21"/>
      <c r="I327" s="18"/>
      <c r="J327" s="22"/>
      <c r="K327" s="23"/>
      <c r="L327" s="23"/>
      <c r="M327" s="24"/>
      <c r="N327" s="19"/>
      <c r="O327" s="25" t="str">
        <f aca="false">IF(OR(G327="",H327=""),"",H327-G327)</f>
        <v/>
      </c>
      <c r="P327" s="26" t="str">
        <f aca="false">IF(COUNTA(A327:N327)=0,"",IF(B327="","Falta el nombre",IF(C327="","Falta la cédula",IF(LEN(C327)&lt;&gt;10,"La cédula debe tener 10 dígitos",IF(F327="","Falta el tipo de plan",IF(G327="","Falta la fecha de inicio",IF(H327="","Falta la fecha de vencimiento",IF(O327&lt;=0,"El vencimiento debe ser posterior al inicio",IF(AND(F327&lt;&gt;"DIARIO",O327&lt;21),"Duración muy corta: revisar fechas",IF(O327&gt;400,"Duración mayor a 400 días: revisar fechas",IF(I327="","Falta la forma de pago",IF(L327="","Falta el monto cobrado","OK"))))))))))))</f>
        <v/>
      </c>
    </row>
    <row r="328" customFormat="false" ht="15" hidden="false" customHeight="false" outlineLevel="0" collapsed="false">
      <c r="A328" s="18"/>
      <c r="B328" s="19"/>
      <c r="C328" s="20"/>
      <c r="D328" s="20"/>
      <c r="E328" s="19"/>
      <c r="F328" s="18"/>
      <c r="G328" s="21"/>
      <c r="H328" s="21"/>
      <c r="I328" s="18"/>
      <c r="J328" s="22"/>
      <c r="K328" s="23"/>
      <c r="L328" s="23"/>
      <c r="M328" s="24"/>
      <c r="N328" s="19"/>
      <c r="O328" s="25" t="str">
        <f aca="false">IF(OR(G328="",H328=""),"",H328-G328)</f>
        <v/>
      </c>
      <c r="P328" s="26" t="str">
        <f aca="false">IF(COUNTA(A328:N328)=0,"",IF(B328="","Falta el nombre",IF(C328="","Falta la cédula",IF(LEN(C328)&lt;&gt;10,"La cédula debe tener 10 dígitos",IF(F328="","Falta el tipo de plan",IF(G328="","Falta la fecha de inicio",IF(H328="","Falta la fecha de vencimiento",IF(O328&lt;=0,"El vencimiento debe ser posterior al inicio",IF(AND(F328&lt;&gt;"DIARIO",O328&lt;21),"Duración muy corta: revisar fechas",IF(O328&gt;400,"Duración mayor a 400 días: revisar fechas",IF(I328="","Falta la forma de pago",IF(L328="","Falta el monto cobrado","OK"))))))))))))</f>
        <v/>
      </c>
    </row>
    <row r="329" customFormat="false" ht="15" hidden="false" customHeight="false" outlineLevel="0" collapsed="false">
      <c r="A329" s="18"/>
      <c r="B329" s="19"/>
      <c r="C329" s="20"/>
      <c r="D329" s="20"/>
      <c r="E329" s="19"/>
      <c r="F329" s="18"/>
      <c r="G329" s="21"/>
      <c r="H329" s="21"/>
      <c r="I329" s="18"/>
      <c r="J329" s="22"/>
      <c r="K329" s="23"/>
      <c r="L329" s="23"/>
      <c r="M329" s="24"/>
      <c r="N329" s="19"/>
      <c r="O329" s="25" t="str">
        <f aca="false">IF(OR(G329="",H329=""),"",H329-G329)</f>
        <v/>
      </c>
      <c r="P329" s="26" t="str">
        <f aca="false">IF(COUNTA(A329:N329)=0,"",IF(B329="","Falta el nombre",IF(C329="","Falta la cédula",IF(LEN(C329)&lt;&gt;10,"La cédula debe tener 10 dígitos",IF(F329="","Falta el tipo de plan",IF(G329="","Falta la fecha de inicio",IF(H329="","Falta la fecha de vencimiento",IF(O329&lt;=0,"El vencimiento debe ser posterior al inicio",IF(AND(F329&lt;&gt;"DIARIO",O329&lt;21),"Duración muy corta: revisar fechas",IF(O329&gt;400,"Duración mayor a 400 días: revisar fechas",IF(I329="","Falta la forma de pago",IF(L329="","Falta el monto cobrado","OK"))))))))))))</f>
        <v/>
      </c>
    </row>
    <row r="330" customFormat="false" ht="15" hidden="false" customHeight="false" outlineLevel="0" collapsed="false">
      <c r="A330" s="18"/>
      <c r="B330" s="19"/>
      <c r="C330" s="20"/>
      <c r="D330" s="20"/>
      <c r="E330" s="19"/>
      <c r="F330" s="18"/>
      <c r="G330" s="21"/>
      <c r="H330" s="21"/>
      <c r="I330" s="18"/>
      <c r="J330" s="22"/>
      <c r="K330" s="23"/>
      <c r="L330" s="23"/>
      <c r="M330" s="24"/>
      <c r="N330" s="19"/>
      <c r="O330" s="25" t="str">
        <f aca="false">IF(OR(G330="",H330=""),"",H330-G330)</f>
        <v/>
      </c>
      <c r="P330" s="26" t="str">
        <f aca="false">IF(COUNTA(A330:N330)=0,"",IF(B330="","Falta el nombre",IF(C330="","Falta la cédula",IF(LEN(C330)&lt;&gt;10,"La cédula debe tener 10 dígitos",IF(F330="","Falta el tipo de plan",IF(G330="","Falta la fecha de inicio",IF(H330="","Falta la fecha de vencimiento",IF(O330&lt;=0,"El vencimiento debe ser posterior al inicio",IF(AND(F330&lt;&gt;"DIARIO",O330&lt;21),"Duración muy corta: revisar fechas",IF(O330&gt;400,"Duración mayor a 400 días: revisar fechas",IF(I330="","Falta la forma de pago",IF(L330="","Falta el monto cobrado","OK"))))))))))))</f>
        <v/>
      </c>
    </row>
    <row r="331" customFormat="false" ht="15" hidden="false" customHeight="false" outlineLevel="0" collapsed="false">
      <c r="A331" s="18"/>
      <c r="B331" s="19"/>
      <c r="C331" s="20"/>
      <c r="D331" s="20"/>
      <c r="E331" s="19"/>
      <c r="F331" s="18"/>
      <c r="G331" s="21"/>
      <c r="H331" s="21"/>
      <c r="I331" s="18"/>
      <c r="J331" s="22"/>
      <c r="K331" s="23"/>
      <c r="L331" s="23"/>
      <c r="M331" s="24"/>
      <c r="N331" s="19"/>
      <c r="O331" s="25" t="str">
        <f aca="false">IF(OR(G331="",H331=""),"",H331-G331)</f>
        <v/>
      </c>
      <c r="P331" s="26" t="str">
        <f aca="false">IF(COUNTA(A331:N331)=0,"",IF(B331="","Falta el nombre",IF(C331="","Falta la cédula",IF(LEN(C331)&lt;&gt;10,"La cédula debe tener 10 dígitos",IF(F331="","Falta el tipo de plan",IF(G331="","Falta la fecha de inicio",IF(H331="","Falta la fecha de vencimiento",IF(O331&lt;=0,"El vencimiento debe ser posterior al inicio",IF(AND(F331&lt;&gt;"DIARIO",O331&lt;21),"Duración muy corta: revisar fechas",IF(O331&gt;400,"Duración mayor a 400 días: revisar fechas",IF(I331="","Falta la forma de pago",IF(L331="","Falta el monto cobrado","OK"))))))))))))</f>
        <v/>
      </c>
    </row>
    <row r="332" customFormat="false" ht="15" hidden="false" customHeight="false" outlineLevel="0" collapsed="false">
      <c r="A332" s="18"/>
      <c r="B332" s="19"/>
      <c r="C332" s="20"/>
      <c r="D332" s="20"/>
      <c r="E332" s="19"/>
      <c r="F332" s="18"/>
      <c r="G332" s="21"/>
      <c r="H332" s="21"/>
      <c r="I332" s="18"/>
      <c r="J332" s="22"/>
      <c r="K332" s="23"/>
      <c r="L332" s="23"/>
      <c r="M332" s="24"/>
      <c r="N332" s="19"/>
      <c r="O332" s="25" t="str">
        <f aca="false">IF(OR(G332="",H332=""),"",H332-G332)</f>
        <v/>
      </c>
      <c r="P332" s="26" t="str">
        <f aca="false">IF(COUNTA(A332:N332)=0,"",IF(B332="","Falta el nombre",IF(C332="","Falta la cédula",IF(LEN(C332)&lt;&gt;10,"La cédula debe tener 10 dígitos",IF(F332="","Falta el tipo de plan",IF(G332="","Falta la fecha de inicio",IF(H332="","Falta la fecha de vencimiento",IF(O332&lt;=0,"El vencimiento debe ser posterior al inicio",IF(AND(F332&lt;&gt;"DIARIO",O332&lt;21),"Duración muy corta: revisar fechas",IF(O332&gt;400,"Duración mayor a 400 días: revisar fechas",IF(I332="","Falta la forma de pago",IF(L332="","Falta el monto cobrado","OK"))))))))))))</f>
        <v/>
      </c>
    </row>
    <row r="333" customFormat="false" ht="15" hidden="false" customHeight="false" outlineLevel="0" collapsed="false">
      <c r="A333" s="18"/>
      <c r="B333" s="19"/>
      <c r="C333" s="20"/>
      <c r="D333" s="20"/>
      <c r="E333" s="19"/>
      <c r="F333" s="18"/>
      <c r="G333" s="21"/>
      <c r="H333" s="21"/>
      <c r="I333" s="18"/>
      <c r="J333" s="22"/>
      <c r="K333" s="23"/>
      <c r="L333" s="23"/>
      <c r="M333" s="24"/>
      <c r="N333" s="19"/>
      <c r="O333" s="25" t="str">
        <f aca="false">IF(OR(G333="",H333=""),"",H333-G333)</f>
        <v/>
      </c>
      <c r="P333" s="26" t="str">
        <f aca="false">IF(COUNTA(A333:N333)=0,"",IF(B333="","Falta el nombre",IF(C333="","Falta la cédula",IF(LEN(C333)&lt;&gt;10,"La cédula debe tener 10 dígitos",IF(F333="","Falta el tipo de plan",IF(G333="","Falta la fecha de inicio",IF(H333="","Falta la fecha de vencimiento",IF(O333&lt;=0,"El vencimiento debe ser posterior al inicio",IF(AND(F333&lt;&gt;"DIARIO",O333&lt;21),"Duración muy corta: revisar fechas",IF(O333&gt;400,"Duración mayor a 400 días: revisar fechas",IF(I333="","Falta la forma de pago",IF(L333="","Falta el monto cobrado","OK"))))))))))))</f>
        <v/>
      </c>
    </row>
    <row r="334" customFormat="false" ht="15" hidden="false" customHeight="false" outlineLevel="0" collapsed="false">
      <c r="A334" s="18"/>
      <c r="B334" s="19"/>
      <c r="C334" s="20"/>
      <c r="D334" s="20"/>
      <c r="E334" s="19"/>
      <c r="F334" s="18"/>
      <c r="G334" s="21"/>
      <c r="H334" s="21"/>
      <c r="I334" s="18"/>
      <c r="J334" s="22"/>
      <c r="K334" s="23"/>
      <c r="L334" s="23"/>
      <c r="M334" s="24"/>
      <c r="N334" s="19"/>
      <c r="O334" s="25" t="str">
        <f aca="false">IF(OR(G334="",H334=""),"",H334-G334)</f>
        <v/>
      </c>
      <c r="P334" s="26" t="str">
        <f aca="false">IF(COUNTA(A334:N334)=0,"",IF(B334="","Falta el nombre",IF(C334="","Falta la cédula",IF(LEN(C334)&lt;&gt;10,"La cédula debe tener 10 dígitos",IF(F334="","Falta el tipo de plan",IF(G334="","Falta la fecha de inicio",IF(H334="","Falta la fecha de vencimiento",IF(O334&lt;=0,"El vencimiento debe ser posterior al inicio",IF(AND(F334&lt;&gt;"DIARIO",O334&lt;21),"Duración muy corta: revisar fechas",IF(O334&gt;400,"Duración mayor a 400 días: revisar fechas",IF(I334="","Falta la forma de pago",IF(L334="","Falta el monto cobrado","OK"))))))))))))</f>
        <v/>
      </c>
    </row>
    <row r="335" customFormat="false" ht="15" hidden="false" customHeight="false" outlineLevel="0" collapsed="false">
      <c r="A335" s="18"/>
      <c r="B335" s="19"/>
      <c r="C335" s="20"/>
      <c r="D335" s="20"/>
      <c r="E335" s="19"/>
      <c r="F335" s="18"/>
      <c r="G335" s="21"/>
      <c r="H335" s="21"/>
      <c r="I335" s="18"/>
      <c r="J335" s="22"/>
      <c r="K335" s="23"/>
      <c r="L335" s="23"/>
      <c r="M335" s="24"/>
      <c r="N335" s="19"/>
      <c r="O335" s="25" t="str">
        <f aca="false">IF(OR(G335="",H335=""),"",H335-G335)</f>
        <v/>
      </c>
      <c r="P335" s="26" t="str">
        <f aca="false">IF(COUNTA(A335:N335)=0,"",IF(B335="","Falta el nombre",IF(C335="","Falta la cédula",IF(LEN(C335)&lt;&gt;10,"La cédula debe tener 10 dígitos",IF(F335="","Falta el tipo de plan",IF(G335="","Falta la fecha de inicio",IF(H335="","Falta la fecha de vencimiento",IF(O335&lt;=0,"El vencimiento debe ser posterior al inicio",IF(AND(F335&lt;&gt;"DIARIO",O335&lt;21),"Duración muy corta: revisar fechas",IF(O335&gt;400,"Duración mayor a 400 días: revisar fechas",IF(I335="","Falta la forma de pago",IF(L335="","Falta el monto cobrado","OK"))))))))))))</f>
        <v/>
      </c>
    </row>
    <row r="336" customFormat="false" ht="15" hidden="false" customHeight="false" outlineLevel="0" collapsed="false">
      <c r="A336" s="18"/>
      <c r="B336" s="19"/>
      <c r="C336" s="20"/>
      <c r="D336" s="20"/>
      <c r="E336" s="19"/>
      <c r="F336" s="18"/>
      <c r="G336" s="21"/>
      <c r="H336" s="21"/>
      <c r="I336" s="18"/>
      <c r="J336" s="22"/>
      <c r="K336" s="23"/>
      <c r="L336" s="23"/>
      <c r="M336" s="24"/>
      <c r="N336" s="19"/>
      <c r="O336" s="25" t="str">
        <f aca="false">IF(OR(G336="",H336=""),"",H336-G336)</f>
        <v/>
      </c>
      <c r="P336" s="26" t="str">
        <f aca="false">IF(COUNTA(A336:N336)=0,"",IF(B336="","Falta el nombre",IF(C336="","Falta la cédula",IF(LEN(C336)&lt;&gt;10,"La cédula debe tener 10 dígitos",IF(F336="","Falta el tipo de plan",IF(G336="","Falta la fecha de inicio",IF(H336="","Falta la fecha de vencimiento",IF(O336&lt;=0,"El vencimiento debe ser posterior al inicio",IF(AND(F336&lt;&gt;"DIARIO",O336&lt;21),"Duración muy corta: revisar fechas",IF(O336&gt;400,"Duración mayor a 400 días: revisar fechas",IF(I336="","Falta la forma de pago",IF(L336="","Falta el monto cobrado","OK"))))))))))))</f>
        <v/>
      </c>
    </row>
    <row r="337" customFormat="false" ht="15" hidden="false" customHeight="false" outlineLevel="0" collapsed="false">
      <c r="A337" s="18"/>
      <c r="B337" s="19"/>
      <c r="C337" s="20"/>
      <c r="D337" s="20"/>
      <c r="E337" s="19"/>
      <c r="F337" s="18"/>
      <c r="G337" s="21"/>
      <c r="H337" s="21"/>
      <c r="I337" s="18"/>
      <c r="J337" s="22"/>
      <c r="K337" s="23"/>
      <c r="L337" s="23"/>
      <c r="M337" s="24"/>
      <c r="N337" s="19"/>
      <c r="O337" s="25" t="str">
        <f aca="false">IF(OR(G337="",H337=""),"",H337-G337)</f>
        <v/>
      </c>
      <c r="P337" s="26" t="str">
        <f aca="false">IF(COUNTA(A337:N337)=0,"",IF(B337="","Falta el nombre",IF(C337="","Falta la cédula",IF(LEN(C337)&lt;&gt;10,"La cédula debe tener 10 dígitos",IF(F337="","Falta el tipo de plan",IF(G337="","Falta la fecha de inicio",IF(H337="","Falta la fecha de vencimiento",IF(O337&lt;=0,"El vencimiento debe ser posterior al inicio",IF(AND(F337&lt;&gt;"DIARIO",O337&lt;21),"Duración muy corta: revisar fechas",IF(O337&gt;400,"Duración mayor a 400 días: revisar fechas",IF(I337="","Falta la forma de pago",IF(L337="","Falta el monto cobrado","OK"))))))))))))</f>
        <v/>
      </c>
    </row>
    <row r="338" customFormat="false" ht="15" hidden="false" customHeight="false" outlineLevel="0" collapsed="false">
      <c r="A338" s="18"/>
      <c r="B338" s="19"/>
      <c r="C338" s="20"/>
      <c r="D338" s="20"/>
      <c r="E338" s="19"/>
      <c r="F338" s="18"/>
      <c r="G338" s="21"/>
      <c r="H338" s="21"/>
      <c r="I338" s="18"/>
      <c r="J338" s="22"/>
      <c r="K338" s="23"/>
      <c r="L338" s="23"/>
      <c r="M338" s="24"/>
      <c r="N338" s="19"/>
      <c r="O338" s="25" t="str">
        <f aca="false">IF(OR(G338="",H338=""),"",H338-G338)</f>
        <v/>
      </c>
      <c r="P338" s="26" t="str">
        <f aca="false">IF(COUNTA(A338:N338)=0,"",IF(B338="","Falta el nombre",IF(C338="","Falta la cédula",IF(LEN(C338)&lt;&gt;10,"La cédula debe tener 10 dígitos",IF(F338="","Falta el tipo de plan",IF(G338="","Falta la fecha de inicio",IF(H338="","Falta la fecha de vencimiento",IF(O338&lt;=0,"El vencimiento debe ser posterior al inicio",IF(AND(F338&lt;&gt;"DIARIO",O338&lt;21),"Duración muy corta: revisar fechas",IF(O338&gt;400,"Duración mayor a 400 días: revisar fechas",IF(I338="","Falta la forma de pago",IF(L338="","Falta el monto cobrado","OK"))))))))))))</f>
        <v/>
      </c>
    </row>
    <row r="339" customFormat="false" ht="15" hidden="false" customHeight="false" outlineLevel="0" collapsed="false">
      <c r="A339" s="18"/>
      <c r="B339" s="19"/>
      <c r="C339" s="20"/>
      <c r="D339" s="20"/>
      <c r="E339" s="19"/>
      <c r="F339" s="18"/>
      <c r="G339" s="21"/>
      <c r="H339" s="21"/>
      <c r="I339" s="18"/>
      <c r="J339" s="22"/>
      <c r="K339" s="23"/>
      <c r="L339" s="23"/>
      <c r="M339" s="24"/>
      <c r="N339" s="19"/>
      <c r="O339" s="25" t="str">
        <f aca="false">IF(OR(G339="",H339=""),"",H339-G339)</f>
        <v/>
      </c>
      <c r="P339" s="26" t="str">
        <f aca="false">IF(COUNTA(A339:N339)=0,"",IF(B339="","Falta el nombre",IF(C339="","Falta la cédula",IF(LEN(C339)&lt;&gt;10,"La cédula debe tener 10 dígitos",IF(F339="","Falta el tipo de plan",IF(G339="","Falta la fecha de inicio",IF(H339="","Falta la fecha de vencimiento",IF(O339&lt;=0,"El vencimiento debe ser posterior al inicio",IF(AND(F339&lt;&gt;"DIARIO",O339&lt;21),"Duración muy corta: revisar fechas",IF(O339&gt;400,"Duración mayor a 400 días: revisar fechas",IF(I339="","Falta la forma de pago",IF(L339="","Falta el monto cobrado","OK"))))))))))))</f>
        <v/>
      </c>
    </row>
    <row r="340" customFormat="false" ht="15" hidden="false" customHeight="false" outlineLevel="0" collapsed="false">
      <c r="A340" s="18"/>
      <c r="B340" s="19"/>
      <c r="C340" s="20"/>
      <c r="D340" s="20"/>
      <c r="E340" s="19"/>
      <c r="F340" s="18"/>
      <c r="G340" s="21"/>
      <c r="H340" s="21"/>
      <c r="I340" s="18"/>
      <c r="J340" s="22"/>
      <c r="K340" s="23"/>
      <c r="L340" s="23"/>
      <c r="M340" s="24"/>
      <c r="N340" s="19"/>
      <c r="O340" s="25" t="str">
        <f aca="false">IF(OR(G340="",H340=""),"",H340-G340)</f>
        <v/>
      </c>
      <c r="P340" s="26" t="str">
        <f aca="false">IF(COUNTA(A340:N340)=0,"",IF(B340="","Falta el nombre",IF(C340="","Falta la cédula",IF(LEN(C340)&lt;&gt;10,"La cédula debe tener 10 dígitos",IF(F340="","Falta el tipo de plan",IF(G340="","Falta la fecha de inicio",IF(H340="","Falta la fecha de vencimiento",IF(O340&lt;=0,"El vencimiento debe ser posterior al inicio",IF(AND(F340&lt;&gt;"DIARIO",O340&lt;21),"Duración muy corta: revisar fechas",IF(O340&gt;400,"Duración mayor a 400 días: revisar fechas",IF(I340="","Falta la forma de pago",IF(L340="","Falta el monto cobrado","OK"))))))))))))</f>
        <v/>
      </c>
    </row>
    <row r="341" customFormat="false" ht="15" hidden="false" customHeight="false" outlineLevel="0" collapsed="false">
      <c r="A341" s="18"/>
      <c r="B341" s="19"/>
      <c r="C341" s="20"/>
      <c r="D341" s="20"/>
      <c r="E341" s="19"/>
      <c r="F341" s="18"/>
      <c r="G341" s="21"/>
      <c r="H341" s="21"/>
      <c r="I341" s="18"/>
      <c r="J341" s="22"/>
      <c r="K341" s="23"/>
      <c r="L341" s="23"/>
      <c r="M341" s="24"/>
      <c r="N341" s="19"/>
      <c r="O341" s="25" t="str">
        <f aca="false">IF(OR(G341="",H341=""),"",H341-G341)</f>
        <v/>
      </c>
      <c r="P341" s="26" t="str">
        <f aca="false">IF(COUNTA(A341:N341)=0,"",IF(B341="","Falta el nombre",IF(C341="","Falta la cédula",IF(LEN(C341)&lt;&gt;10,"La cédula debe tener 10 dígitos",IF(F341="","Falta el tipo de plan",IF(G341="","Falta la fecha de inicio",IF(H341="","Falta la fecha de vencimiento",IF(O341&lt;=0,"El vencimiento debe ser posterior al inicio",IF(AND(F341&lt;&gt;"DIARIO",O341&lt;21),"Duración muy corta: revisar fechas",IF(O341&gt;400,"Duración mayor a 400 días: revisar fechas",IF(I341="","Falta la forma de pago",IF(L341="","Falta el monto cobrado","OK"))))))))))))</f>
        <v/>
      </c>
    </row>
    <row r="342" customFormat="false" ht="15" hidden="false" customHeight="false" outlineLevel="0" collapsed="false">
      <c r="A342" s="18"/>
      <c r="B342" s="19"/>
      <c r="C342" s="20"/>
      <c r="D342" s="20"/>
      <c r="E342" s="19"/>
      <c r="F342" s="18"/>
      <c r="G342" s="21"/>
      <c r="H342" s="21"/>
      <c r="I342" s="18"/>
      <c r="J342" s="22"/>
      <c r="K342" s="23"/>
      <c r="L342" s="23"/>
      <c r="M342" s="24"/>
      <c r="N342" s="19"/>
      <c r="O342" s="25" t="str">
        <f aca="false">IF(OR(G342="",H342=""),"",H342-G342)</f>
        <v/>
      </c>
      <c r="P342" s="26" t="str">
        <f aca="false">IF(COUNTA(A342:N342)=0,"",IF(B342="","Falta el nombre",IF(C342="","Falta la cédula",IF(LEN(C342)&lt;&gt;10,"La cédula debe tener 10 dígitos",IF(F342="","Falta el tipo de plan",IF(G342="","Falta la fecha de inicio",IF(H342="","Falta la fecha de vencimiento",IF(O342&lt;=0,"El vencimiento debe ser posterior al inicio",IF(AND(F342&lt;&gt;"DIARIO",O342&lt;21),"Duración muy corta: revisar fechas",IF(O342&gt;400,"Duración mayor a 400 días: revisar fechas",IF(I342="","Falta la forma de pago",IF(L342="","Falta el monto cobrado","OK"))))))))))))</f>
        <v/>
      </c>
    </row>
    <row r="343" customFormat="false" ht="15" hidden="false" customHeight="false" outlineLevel="0" collapsed="false">
      <c r="A343" s="18"/>
      <c r="B343" s="19"/>
      <c r="C343" s="20"/>
      <c r="D343" s="20"/>
      <c r="E343" s="19"/>
      <c r="F343" s="18"/>
      <c r="G343" s="21"/>
      <c r="H343" s="21"/>
      <c r="I343" s="18"/>
      <c r="J343" s="22"/>
      <c r="K343" s="23"/>
      <c r="L343" s="23"/>
      <c r="M343" s="24"/>
      <c r="N343" s="19"/>
      <c r="O343" s="25" t="str">
        <f aca="false">IF(OR(G343="",H343=""),"",H343-G343)</f>
        <v/>
      </c>
      <c r="P343" s="26" t="str">
        <f aca="false">IF(COUNTA(A343:N343)=0,"",IF(B343="","Falta el nombre",IF(C343="","Falta la cédula",IF(LEN(C343)&lt;&gt;10,"La cédula debe tener 10 dígitos",IF(F343="","Falta el tipo de plan",IF(G343="","Falta la fecha de inicio",IF(H343="","Falta la fecha de vencimiento",IF(O343&lt;=0,"El vencimiento debe ser posterior al inicio",IF(AND(F343&lt;&gt;"DIARIO",O343&lt;21),"Duración muy corta: revisar fechas",IF(O343&gt;400,"Duración mayor a 400 días: revisar fechas",IF(I343="","Falta la forma de pago",IF(L343="","Falta el monto cobrado","OK"))))))))))))</f>
        <v/>
      </c>
    </row>
    <row r="344" customFormat="false" ht="15" hidden="false" customHeight="false" outlineLevel="0" collapsed="false">
      <c r="A344" s="18"/>
      <c r="B344" s="19"/>
      <c r="C344" s="20"/>
      <c r="D344" s="20"/>
      <c r="E344" s="19"/>
      <c r="F344" s="18"/>
      <c r="G344" s="21"/>
      <c r="H344" s="21"/>
      <c r="I344" s="18"/>
      <c r="J344" s="22"/>
      <c r="K344" s="23"/>
      <c r="L344" s="23"/>
      <c r="M344" s="24"/>
      <c r="N344" s="19"/>
      <c r="O344" s="25" t="str">
        <f aca="false">IF(OR(G344="",H344=""),"",H344-G344)</f>
        <v/>
      </c>
      <c r="P344" s="26" t="str">
        <f aca="false">IF(COUNTA(A344:N344)=0,"",IF(B344="","Falta el nombre",IF(C344="","Falta la cédula",IF(LEN(C344)&lt;&gt;10,"La cédula debe tener 10 dígitos",IF(F344="","Falta el tipo de plan",IF(G344="","Falta la fecha de inicio",IF(H344="","Falta la fecha de vencimiento",IF(O344&lt;=0,"El vencimiento debe ser posterior al inicio",IF(AND(F344&lt;&gt;"DIARIO",O344&lt;21),"Duración muy corta: revisar fechas",IF(O344&gt;400,"Duración mayor a 400 días: revisar fechas",IF(I344="","Falta la forma de pago",IF(L344="","Falta el monto cobrado","OK"))))))))))))</f>
        <v/>
      </c>
    </row>
    <row r="345" customFormat="false" ht="15" hidden="false" customHeight="false" outlineLevel="0" collapsed="false">
      <c r="A345" s="18"/>
      <c r="B345" s="19"/>
      <c r="C345" s="20"/>
      <c r="D345" s="20"/>
      <c r="E345" s="19"/>
      <c r="F345" s="18"/>
      <c r="G345" s="21"/>
      <c r="H345" s="21"/>
      <c r="I345" s="18"/>
      <c r="J345" s="22"/>
      <c r="K345" s="23"/>
      <c r="L345" s="23"/>
      <c r="M345" s="24"/>
      <c r="N345" s="19"/>
      <c r="O345" s="25" t="str">
        <f aca="false">IF(OR(G345="",H345=""),"",H345-G345)</f>
        <v/>
      </c>
      <c r="P345" s="26" t="str">
        <f aca="false">IF(COUNTA(A345:N345)=0,"",IF(B345="","Falta el nombre",IF(C345="","Falta la cédula",IF(LEN(C345)&lt;&gt;10,"La cédula debe tener 10 dígitos",IF(F345="","Falta el tipo de plan",IF(G345="","Falta la fecha de inicio",IF(H345="","Falta la fecha de vencimiento",IF(O345&lt;=0,"El vencimiento debe ser posterior al inicio",IF(AND(F345&lt;&gt;"DIARIO",O345&lt;21),"Duración muy corta: revisar fechas",IF(O345&gt;400,"Duración mayor a 400 días: revisar fechas",IF(I345="","Falta la forma de pago",IF(L345="","Falta el monto cobrado","OK"))))))))))))</f>
        <v/>
      </c>
    </row>
    <row r="346" customFormat="false" ht="15" hidden="false" customHeight="false" outlineLevel="0" collapsed="false">
      <c r="A346" s="18"/>
      <c r="B346" s="19"/>
      <c r="C346" s="20"/>
      <c r="D346" s="20"/>
      <c r="E346" s="19"/>
      <c r="F346" s="18"/>
      <c r="G346" s="21"/>
      <c r="H346" s="21"/>
      <c r="I346" s="18"/>
      <c r="J346" s="22"/>
      <c r="K346" s="23"/>
      <c r="L346" s="23"/>
      <c r="M346" s="24"/>
      <c r="N346" s="19"/>
      <c r="O346" s="25" t="str">
        <f aca="false">IF(OR(G346="",H346=""),"",H346-G346)</f>
        <v/>
      </c>
      <c r="P346" s="26" t="str">
        <f aca="false">IF(COUNTA(A346:N346)=0,"",IF(B346="","Falta el nombre",IF(C346="","Falta la cédula",IF(LEN(C346)&lt;&gt;10,"La cédula debe tener 10 dígitos",IF(F346="","Falta el tipo de plan",IF(G346="","Falta la fecha de inicio",IF(H346="","Falta la fecha de vencimiento",IF(O346&lt;=0,"El vencimiento debe ser posterior al inicio",IF(AND(F346&lt;&gt;"DIARIO",O346&lt;21),"Duración muy corta: revisar fechas",IF(O346&gt;400,"Duración mayor a 400 días: revisar fechas",IF(I346="","Falta la forma de pago",IF(L346="","Falta el monto cobrado","OK"))))))))))))</f>
        <v/>
      </c>
    </row>
    <row r="347" customFormat="false" ht="15" hidden="false" customHeight="false" outlineLevel="0" collapsed="false">
      <c r="A347" s="18"/>
      <c r="B347" s="19"/>
      <c r="C347" s="20"/>
      <c r="D347" s="20"/>
      <c r="E347" s="19"/>
      <c r="F347" s="18"/>
      <c r="G347" s="21"/>
      <c r="H347" s="21"/>
      <c r="I347" s="18"/>
      <c r="J347" s="22"/>
      <c r="K347" s="23"/>
      <c r="L347" s="23"/>
      <c r="M347" s="24"/>
      <c r="N347" s="19"/>
      <c r="O347" s="25" t="str">
        <f aca="false">IF(OR(G347="",H347=""),"",H347-G347)</f>
        <v/>
      </c>
      <c r="P347" s="26" t="str">
        <f aca="false">IF(COUNTA(A347:N347)=0,"",IF(B347="","Falta el nombre",IF(C347="","Falta la cédula",IF(LEN(C347)&lt;&gt;10,"La cédula debe tener 10 dígitos",IF(F347="","Falta el tipo de plan",IF(G347="","Falta la fecha de inicio",IF(H347="","Falta la fecha de vencimiento",IF(O347&lt;=0,"El vencimiento debe ser posterior al inicio",IF(AND(F347&lt;&gt;"DIARIO",O347&lt;21),"Duración muy corta: revisar fechas",IF(O347&gt;400,"Duración mayor a 400 días: revisar fechas",IF(I347="","Falta la forma de pago",IF(L347="","Falta el monto cobrado","OK"))))))))))))</f>
        <v/>
      </c>
    </row>
    <row r="348" customFormat="false" ht="15" hidden="false" customHeight="false" outlineLevel="0" collapsed="false">
      <c r="A348" s="18"/>
      <c r="B348" s="19"/>
      <c r="C348" s="20"/>
      <c r="D348" s="20"/>
      <c r="E348" s="19"/>
      <c r="F348" s="18"/>
      <c r="G348" s="21"/>
      <c r="H348" s="21"/>
      <c r="I348" s="18"/>
      <c r="J348" s="22"/>
      <c r="K348" s="23"/>
      <c r="L348" s="23"/>
      <c r="M348" s="24"/>
      <c r="N348" s="19"/>
      <c r="O348" s="25" t="str">
        <f aca="false">IF(OR(G348="",H348=""),"",H348-G348)</f>
        <v/>
      </c>
      <c r="P348" s="26" t="str">
        <f aca="false">IF(COUNTA(A348:N348)=0,"",IF(B348="","Falta el nombre",IF(C348="","Falta la cédula",IF(LEN(C348)&lt;&gt;10,"La cédula debe tener 10 dígitos",IF(F348="","Falta el tipo de plan",IF(G348="","Falta la fecha de inicio",IF(H348="","Falta la fecha de vencimiento",IF(O348&lt;=0,"El vencimiento debe ser posterior al inicio",IF(AND(F348&lt;&gt;"DIARIO",O348&lt;21),"Duración muy corta: revisar fechas",IF(O348&gt;400,"Duración mayor a 400 días: revisar fechas",IF(I348="","Falta la forma de pago",IF(L348="","Falta el monto cobrado","OK"))))))))))))</f>
        <v/>
      </c>
    </row>
    <row r="349" customFormat="false" ht="15" hidden="false" customHeight="false" outlineLevel="0" collapsed="false">
      <c r="A349" s="18"/>
      <c r="B349" s="19"/>
      <c r="C349" s="20"/>
      <c r="D349" s="20"/>
      <c r="E349" s="19"/>
      <c r="F349" s="18"/>
      <c r="G349" s="21"/>
      <c r="H349" s="21"/>
      <c r="I349" s="18"/>
      <c r="J349" s="22"/>
      <c r="K349" s="23"/>
      <c r="L349" s="23"/>
      <c r="M349" s="24"/>
      <c r="N349" s="19"/>
      <c r="O349" s="25" t="str">
        <f aca="false">IF(OR(G349="",H349=""),"",H349-G349)</f>
        <v/>
      </c>
      <c r="P349" s="26" t="str">
        <f aca="false">IF(COUNTA(A349:N349)=0,"",IF(B349="","Falta el nombre",IF(C349="","Falta la cédula",IF(LEN(C349)&lt;&gt;10,"La cédula debe tener 10 dígitos",IF(F349="","Falta el tipo de plan",IF(G349="","Falta la fecha de inicio",IF(H349="","Falta la fecha de vencimiento",IF(O349&lt;=0,"El vencimiento debe ser posterior al inicio",IF(AND(F349&lt;&gt;"DIARIO",O349&lt;21),"Duración muy corta: revisar fechas",IF(O349&gt;400,"Duración mayor a 400 días: revisar fechas",IF(I349="","Falta la forma de pago",IF(L349="","Falta el monto cobrado","OK"))))))))))))</f>
        <v/>
      </c>
    </row>
    <row r="350" customFormat="false" ht="15" hidden="false" customHeight="false" outlineLevel="0" collapsed="false">
      <c r="A350" s="18"/>
      <c r="B350" s="19"/>
      <c r="C350" s="20"/>
      <c r="D350" s="20"/>
      <c r="E350" s="19"/>
      <c r="F350" s="18"/>
      <c r="G350" s="21"/>
      <c r="H350" s="21"/>
      <c r="I350" s="18"/>
      <c r="J350" s="22"/>
      <c r="K350" s="23"/>
      <c r="L350" s="23"/>
      <c r="M350" s="24"/>
      <c r="N350" s="19"/>
      <c r="O350" s="25" t="str">
        <f aca="false">IF(OR(G350="",H350=""),"",H350-G350)</f>
        <v/>
      </c>
      <c r="P350" s="26" t="str">
        <f aca="false">IF(COUNTA(A350:N350)=0,"",IF(B350="","Falta el nombre",IF(C350="","Falta la cédula",IF(LEN(C350)&lt;&gt;10,"La cédula debe tener 10 dígitos",IF(F350="","Falta el tipo de plan",IF(G350="","Falta la fecha de inicio",IF(H350="","Falta la fecha de vencimiento",IF(O350&lt;=0,"El vencimiento debe ser posterior al inicio",IF(AND(F350&lt;&gt;"DIARIO",O350&lt;21),"Duración muy corta: revisar fechas",IF(O350&gt;400,"Duración mayor a 400 días: revisar fechas",IF(I350="","Falta la forma de pago",IF(L350="","Falta el monto cobrado","OK"))))))))))))</f>
        <v/>
      </c>
    </row>
    <row r="351" customFormat="false" ht="15" hidden="false" customHeight="false" outlineLevel="0" collapsed="false">
      <c r="A351" s="18"/>
      <c r="B351" s="19"/>
      <c r="C351" s="20"/>
      <c r="D351" s="20"/>
      <c r="E351" s="19"/>
      <c r="F351" s="18"/>
      <c r="G351" s="21"/>
      <c r="H351" s="21"/>
      <c r="I351" s="18"/>
      <c r="J351" s="22"/>
      <c r="K351" s="23"/>
      <c r="L351" s="23"/>
      <c r="M351" s="24"/>
      <c r="N351" s="19"/>
      <c r="O351" s="25" t="str">
        <f aca="false">IF(OR(G351="",H351=""),"",H351-G351)</f>
        <v/>
      </c>
      <c r="P351" s="26" t="str">
        <f aca="false">IF(COUNTA(A351:N351)=0,"",IF(B351="","Falta el nombre",IF(C351="","Falta la cédula",IF(LEN(C351)&lt;&gt;10,"La cédula debe tener 10 dígitos",IF(F351="","Falta el tipo de plan",IF(G351="","Falta la fecha de inicio",IF(H351="","Falta la fecha de vencimiento",IF(O351&lt;=0,"El vencimiento debe ser posterior al inicio",IF(AND(F351&lt;&gt;"DIARIO",O351&lt;21),"Duración muy corta: revisar fechas",IF(O351&gt;400,"Duración mayor a 400 días: revisar fechas",IF(I351="","Falta la forma de pago",IF(L351="","Falta el monto cobrado","OK"))))))))))))</f>
        <v/>
      </c>
    </row>
    <row r="352" customFormat="false" ht="15" hidden="false" customHeight="false" outlineLevel="0" collapsed="false">
      <c r="A352" s="18"/>
      <c r="B352" s="19"/>
      <c r="C352" s="20"/>
      <c r="D352" s="20"/>
      <c r="E352" s="19"/>
      <c r="F352" s="18"/>
      <c r="G352" s="21"/>
      <c r="H352" s="21"/>
      <c r="I352" s="18"/>
      <c r="J352" s="22"/>
      <c r="K352" s="23"/>
      <c r="L352" s="23"/>
      <c r="M352" s="24"/>
      <c r="N352" s="19"/>
      <c r="O352" s="25" t="str">
        <f aca="false">IF(OR(G352="",H352=""),"",H352-G352)</f>
        <v/>
      </c>
      <c r="P352" s="26" t="str">
        <f aca="false">IF(COUNTA(A352:N352)=0,"",IF(B352="","Falta el nombre",IF(C352="","Falta la cédula",IF(LEN(C352)&lt;&gt;10,"La cédula debe tener 10 dígitos",IF(F352="","Falta el tipo de plan",IF(G352="","Falta la fecha de inicio",IF(H352="","Falta la fecha de vencimiento",IF(O352&lt;=0,"El vencimiento debe ser posterior al inicio",IF(AND(F352&lt;&gt;"DIARIO",O352&lt;21),"Duración muy corta: revisar fechas",IF(O352&gt;400,"Duración mayor a 400 días: revisar fechas",IF(I352="","Falta la forma de pago",IF(L352="","Falta el monto cobrado","OK"))))))))))))</f>
        <v/>
      </c>
    </row>
    <row r="353" customFormat="false" ht="15" hidden="false" customHeight="false" outlineLevel="0" collapsed="false">
      <c r="A353" s="18"/>
      <c r="B353" s="19"/>
      <c r="C353" s="20"/>
      <c r="D353" s="20"/>
      <c r="E353" s="19"/>
      <c r="F353" s="18"/>
      <c r="G353" s="21"/>
      <c r="H353" s="21"/>
      <c r="I353" s="18"/>
      <c r="J353" s="22"/>
      <c r="K353" s="23"/>
      <c r="L353" s="23"/>
      <c r="M353" s="24"/>
      <c r="N353" s="19"/>
      <c r="O353" s="25" t="str">
        <f aca="false">IF(OR(G353="",H353=""),"",H353-G353)</f>
        <v/>
      </c>
      <c r="P353" s="26" t="str">
        <f aca="false">IF(COUNTA(A353:N353)=0,"",IF(B353="","Falta el nombre",IF(C353="","Falta la cédula",IF(LEN(C353)&lt;&gt;10,"La cédula debe tener 10 dígitos",IF(F353="","Falta el tipo de plan",IF(G353="","Falta la fecha de inicio",IF(H353="","Falta la fecha de vencimiento",IF(O353&lt;=0,"El vencimiento debe ser posterior al inicio",IF(AND(F353&lt;&gt;"DIARIO",O353&lt;21),"Duración muy corta: revisar fechas",IF(O353&gt;400,"Duración mayor a 400 días: revisar fechas",IF(I353="","Falta la forma de pago",IF(L353="","Falta el monto cobrado","OK"))))))))))))</f>
        <v/>
      </c>
    </row>
    <row r="354" customFormat="false" ht="15" hidden="false" customHeight="false" outlineLevel="0" collapsed="false">
      <c r="A354" s="18"/>
      <c r="B354" s="19"/>
      <c r="C354" s="20"/>
      <c r="D354" s="20"/>
      <c r="E354" s="19"/>
      <c r="F354" s="18"/>
      <c r="G354" s="21"/>
      <c r="H354" s="21"/>
      <c r="I354" s="18"/>
      <c r="J354" s="22"/>
      <c r="K354" s="23"/>
      <c r="L354" s="23"/>
      <c r="M354" s="24"/>
      <c r="N354" s="19"/>
      <c r="O354" s="25" t="str">
        <f aca="false">IF(OR(G354="",H354=""),"",H354-G354)</f>
        <v/>
      </c>
      <c r="P354" s="26" t="str">
        <f aca="false">IF(COUNTA(A354:N354)=0,"",IF(B354="","Falta el nombre",IF(C354="","Falta la cédula",IF(LEN(C354)&lt;&gt;10,"La cédula debe tener 10 dígitos",IF(F354="","Falta el tipo de plan",IF(G354="","Falta la fecha de inicio",IF(H354="","Falta la fecha de vencimiento",IF(O354&lt;=0,"El vencimiento debe ser posterior al inicio",IF(AND(F354&lt;&gt;"DIARIO",O354&lt;21),"Duración muy corta: revisar fechas",IF(O354&gt;400,"Duración mayor a 400 días: revisar fechas",IF(I354="","Falta la forma de pago",IF(L354="","Falta el monto cobrado","OK"))))))))))))</f>
        <v/>
      </c>
    </row>
    <row r="355" customFormat="false" ht="15" hidden="false" customHeight="false" outlineLevel="0" collapsed="false">
      <c r="A355" s="18"/>
      <c r="B355" s="19"/>
      <c r="C355" s="20"/>
      <c r="D355" s="20"/>
      <c r="E355" s="19"/>
      <c r="F355" s="18"/>
      <c r="G355" s="21"/>
      <c r="H355" s="21"/>
      <c r="I355" s="18"/>
      <c r="J355" s="22"/>
      <c r="K355" s="23"/>
      <c r="L355" s="23"/>
      <c r="M355" s="24"/>
      <c r="N355" s="19"/>
      <c r="O355" s="25" t="str">
        <f aca="false">IF(OR(G355="",H355=""),"",H355-G355)</f>
        <v/>
      </c>
      <c r="P355" s="26" t="str">
        <f aca="false">IF(COUNTA(A355:N355)=0,"",IF(B355="","Falta el nombre",IF(C355="","Falta la cédula",IF(LEN(C355)&lt;&gt;10,"La cédula debe tener 10 dígitos",IF(F355="","Falta el tipo de plan",IF(G355="","Falta la fecha de inicio",IF(H355="","Falta la fecha de vencimiento",IF(O355&lt;=0,"El vencimiento debe ser posterior al inicio",IF(AND(F355&lt;&gt;"DIARIO",O355&lt;21),"Duración muy corta: revisar fechas",IF(O355&gt;400,"Duración mayor a 400 días: revisar fechas",IF(I355="","Falta la forma de pago",IF(L355="","Falta el monto cobrado","OK"))))))))))))</f>
        <v/>
      </c>
    </row>
    <row r="356" customFormat="false" ht="15" hidden="false" customHeight="false" outlineLevel="0" collapsed="false">
      <c r="A356" s="18"/>
      <c r="B356" s="19"/>
      <c r="C356" s="20"/>
      <c r="D356" s="20"/>
      <c r="E356" s="19"/>
      <c r="F356" s="18"/>
      <c r="G356" s="21"/>
      <c r="H356" s="21"/>
      <c r="I356" s="18"/>
      <c r="J356" s="22"/>
      <c r="K356" s="23"/>
      <c r="L356" s="23"/>
      <c r="M356" s="24"/>
      <c r="N356" s="19"/>
      <c r="O356" s="25" t="str">
        <f aca="false">IF(OR(G356="",H356=""),"",H356-G356)</f>
        <v/>
      </c>
      <c r="P356" s="26" t="str">
        <f aca="false">IF(COUNTA(A356:N356)=0,"",IF(B356="","Falta el nombre",IF(C356="","Falta la cédula",IF(LEN(C356)&lt;&gt;10,"La cédula debe tener 10 dígitos",IF(F356="","Falta el tipo de plan",IF(G356="","Falta la fecha de inicio",IF(H356="","Falta la fecha de vencimiento",IF(O356&lt;=0,"El vencimiento debe ser posterior al inicio",IF(AND(F356&lt;&gt;"DIARIO",O356&lt;21),"Duración muy corta: revisar fechas",IF(O356&gt;400,"Duración mayor a 400 días: revisar fechas",IF(I356="","Falta la forma de pago",IF(L356="","Falta el monto cobrado","OK"))))))))))))</f>
        <v/>
      </c>
    </row>
    <row r="357" customFormat="false" ht="15" hidden="false" customHeight="false" outlineLevel="0" collapsed="false">
      <c r="A357" s="18"/>
      <c r="B357" s="19"/>
      <c r="C357" s="20"/>
      <c r="D357" s="20"/>
      <c r="E357" s="19"/>
      <c r="F357" s="18"/>
      <c r="G357" s="21"/>
      <c r="H357" s="21"/>
      <c r="I357" s="18"/>
      <c r="J357" s="22"/>
      <c r="K357" s="23"/>
      <c r="L357" s="23"/>
      <c r="M357" s="24"/>
      <c r="N357" s="19"/>
      <c r="O357" s="25" t="str">
        <f aca="false">IF(OR(G357="",H357=""),"",H357-G357)</f>
        <v/>
      </c>
      <c r="P357" s="26" t="str">
        <f aca="false">IF(COUNTA(A357:N357)=0,"",IF(B357="","Falta el nombre",IF(C357="","Falta la cédula",IF(LEN(C357)&lt;&gt;10,"La cédula debe tener 10 dígitos",IF(F357="","Falta el tipo de plan",IF(G357="","Falta la fecha de inicio",IF(H357="","Falta la fecha de vencimiento",IF(O357&lt;=0,"El vencimiento debe ser posterior al inicio",IF(AND(F357&lt;&gt;"DIARIO",O357&lt;21),"Duración muy corta: revisar fechas",IF(O357&gt;400,"Duración mayor a 400 días: revisar fechas",IF(I357="","Falta la forma de pago",IF(L357="","Falta el monto cobrado","OK"))))))))))))</f>
        <v/>
      </c>
    </row>
    <row r="358" customFormat="false" ht="15" hidden="false" customHeight="false" outlineLevel="0" collapsed="false">
      <c r="A358" s="18"/>
      <c r="B358" s="19"/>
      <c r="C358" s="20"/>
      <c r="D358" s="20"/>
      <c r="E358" s="19"/>
      <c r="F358" s="18"/>
      <c r="G358" s="21"/>
      <c r="H358" s="21"/>
      <c r="I358" s="18"/>
      <c r="J358" s="22"/>
      <c r="K358" s="23"/>
      <c r="L358" s="23"/>
      <c r="M358" s="24"/>
      <c r="N358" s="19"/>
      <c r="O358" s="25" t="str">
        <f aca="false">IF(OR(G358="",H358=""),"",H358-G358)</f>
        <v/>
      </c>
      <c r="P358" s="26" t="str">
        <f aca="false">IF(COUNTA(A358:N358)=0,"",IF(B358="","Falta el nombre",IF(C358="","Falta la cédula",IF(LEN(C358)&lt;&gt;10,"La cédula debe tener 10 dígitos",IF(F358="","Falta el tipo de plan",IF(G358="","Falta la fecha de inicio",IF(H358="","Falta la fecha de vencimiento",IF(O358&lt;=0,"El vencimiento debe ser posterior al inicio",IF(AND(F358&lt;&gt;"DIARIO",O358&lt;21),"Duración muy corta: revisar fechas",IF(O358&gt;400,"Duración mayor a 400 días: revisar fechas",IF(I358="","Falta la forma de pago",IF(L358="","Falta el monto cobrado","OK"))))))))))))</f>
        <v/>
      </c>
    </row>
    <row r="359" customFormat="false" ht="15" hidden="false" customHeight="false" outlineLevel="0" collapsed="false">
      <c r="A359" s="18"/>
      <c r="B359" s="19"/>
      <c r="C359" s="20"/>
      <c r="D359" s="20"/>
      <c r="E359" s="19"/>
      <c r="F359" s="18"/>
      <c r="G359" s="21"/>
      <c r="H359" s="21"/>
      <c r="I359" s="18"/>
      <c r="J359" s="22"/>
      <c r="K359" s="23"/>
      <c r="L359" s="23"/>
      <c r="M359" s="24"/>
      <c r="N359" s="19"/>
      <c r="O359" s="25" t="str">
        <f aca="false">IF(OR(G359="",H359=""),"",H359-G359)</f>
        <v/>
      </c>
      <c r="P359" s="26" t="str">
        <f aca="false">IF(COUNTA(A359:N359)=0,"",IF(B359="","Falta el nombre",IF(C359="","Falta la cédula",IF(LEN(C359)&lt;&gt;10,"La cédula debe tener 10 dígitos",IF(F359="","Falta el tipo de plan",IF(G359="","Falta la fecha de inicio",IF(H359="","Falta la fecha de vencimiento",IF(O359&lt;=0,"El vencimiento debe ser posterior al inicio",IF(AND(F359&lt;&gt;"DIARIO",O359&lt;21),"Duración muy corta: revisar fechas",IF(O359&gt;400,"Duración mayor a 400 días: revisar fechas",IF(I359="","Falta la forma de pago",IF(L359="","Falta el monto cobrado","OK"))))))))))))</f>
        <v/>
      </c>
    </row>
    <row r="360" customFormat="false" ht="15" hidden="false" customHeight="false" outlineLevel="0" collapsed="false">
      <c r="A360" s="18"/>
      <c r="B360" s="19"/>
      <c r="C360" s="20"/>
      <c r="D360" s="20"/>
      <c r="E360" s="19"/>
      <c r="F360" s="18"/>
      <c r="G360" s="21"/>
      <c r="H360" s="21"/>
      <c r="I360" s="18"/>
      <c r="J360" s="22"/>
      <c r="K360" s="23"/>
      <c r="L360" s="23"/>
      <c r="M360" s="24"/>
      <c r="N360" s="19"/>
      <c r="O360" s="25" t="str">
        <f aca="false">IF(OR(G360="",H360=""),"",H360-G360)</f>
        <v/>
      </c>
      <c r="P360" s="26" t="str">
        <f aca="false">IF(COUNTA(A360:N360)=0,"",IF(B360="","Falta el nombre",IF(C360="","Falta la cédula",IF(LEN(C360)&lt;&gt;10,"La cédula debe tener 10 dígitos",IF(F360="","Falta el tipo de plan",IF(G360="","Falta la fecha de inicio",IF(H360="","Falta la fecha de vencimiento",IF(O360&lt;=0,"El vencimiento debe ser posterior al inicio",IF(AND(F360&lt;&gt;"DIARIO",O360&lt;21),"Duración muy corta: revisar fechas",IF(O360&gt;400,"Duración mayor a 400 días: revisar fechas",IF(I360="","Falta la forma de pago",IF(L360="","Falta el monto cobrado","OK"))))))))))))</f>
        <v/>
      </c>
    </row>
    <row r="361" customFormat="false" ht="15" hidden="false" customHeight="false" outlineLevel="0" collapsed="false">
      <c r="A361" s="18"/>
      <c r="B361" s="19"/>
      <c r="C361" s="20"/>
      <c r="D361" s="20"/>
      <c r="E361" s="19"/>
      <c r="F361" s="18"/>
      <c r="G361" s="21"/>
      <c r="H361" s="21"/>
      <c r="I361" s="18"/>
      <c r="J361" s="22"/>
      <c r="K361" s="23"/>
      <c r="L361" s="23"/>
      <c r="M361" s="24"/>
      <c r="N361" s="19"/>
      <c r="O361" s="25" t="str">
        <f aca="false">IF(OR(G361="",H361=""),"",H361-G361)</f>
        <v/>
      </c>
      <c r="P361" s="26" t="str">
        <f aca="false">IF(COUNTA(A361:N361)=0,"",IF(B361="","Falta el nombre",IF(C361="","Falta la cédula",IF(LEN(C361)&lt;&gt;10,"La cédula debe tener 10 dígitos",IF(F361="","Falta el tipo de plan",IF(G361="","Falta la fecha de inicio",IF(H361="","Falta la fecha de vencimiento",IF(O361&lt;=0,"El vencimiento debe ser posterior al inicio",IF(AND(F361&lt;&gt;"DIARIO",O361&lt;21),"Duración muy corta: revisar fechas",IF(O361&gt;400,"Duración mayor a 400 días: revisar fechas",IF(I361="","Falta la forma de pago",IF(L361="","Falta el monto cobrado","OK"))))))))))))</f>
        <v/>
      </c>
    </row>
    <row r="362" customFormat="false" ht="15" hidden="false" customHeight="false" outlineLevel="0" collapsed="false">
      <c r="A362" s="18"/>
      <c r="B362" s="19"/>
      <c r="C362" s="20"/>
      <c r="D362" s="20"/>
      <c r="E362" s="19"/>
      <c r="F362" s="18"/>
      <c r="G362" s="21"/>
      <c r="H362" s="21"/>
      <c r="I362" s="18"/>
      <c r="J362" s="22"/>
      <c r="K362" s="23"/>
      <c r="L362" s="23"/>
      <c r="M362" s="24"/>
      <c r="N362" s="19"/>
      <c r="O362" s="25" t="str">
        <f aca="false">IF(OR(G362="",H362=""),"",H362-G362)</f>
        <v/>
      </c>
      <c r="P362" s="26" t="str">
        <f aca="false">IF(COUNTA(A362:N362)=0,"",IF(B362="","Falta el nombre",IF(C362="","Falta la cédula",IF(LEN(C362)&lt;&gt;10,"La cédula debe tener 10 dígitos",IF(F362="","Falta el tipo de plan",IF(G362="","Falta la fecha de inicio",IF(H362="","Falta la fecha de vencimiento",IF(O362&lt;=0,"El vencimiento debe ser posterior al inicio",IF(AND(F362&lt;&gt;"DIARIO",O362&lt;21),"Duración muy corta: revisar fechas",IF(O362&gt;400,"Duración mayor a 400 días: revisar fechas",IF(I362="","Falta la forma de pago",IF(L362="","Falta el monto cobrado","OK"))))))))))))</f>
        <v/>
      </c>
    </row>
    <row r="363" customFormat="false" ht="15" hidden="false" customHeight="false" outlineLevel="0" collapsed="false">
      <c r="A363" s="18"/>
      <c r="B363" s="19"/>
      <c r="C363" s="20"/>
      <c r="D363" s="20"/>
      <c r="E363" s="19"/>
      <c r="F363" s="18"/>
      <c r="G363" s="21"/>
      <c r="H363" s="21"/>
      <c r="I363" s="18"/>
      <c r="J363" s="22"/>
      <c r="K363" s="23"/>
      <c r="L363" s="23"/>
      <c r="M363" s="24"/>
      <c r="N363" s="19"/>
      <c r="O363" s="25" t="str">
        <f aca="false">IF(OR(G363="",H363=""),"",H363-G363)</f>
        <v/>
      </c>
      <c r="P363" s="26" t="str">
        <f aca="false">IF(COUNTA(A363:N363)=0,"",IF(B363="","Falta el nombre",IF(C363="","Falta la cédula",IF(LEN(C363)&lt;&gt;10,"La cédula debe tener 10 dígitos",IF(F363="","Falta el tipo de plan",IF(G363="","Falta la fecha de inicio",IF(H363="","Falta la fecha de vencimiento",IF(O363&lt;=0,"El vencimiento debe ser posterior al inicio",IF(AND(F363&lt;&gt;"DIARIO",O363&lt;21),"Duración muy corta: revisar fechas",IF(O363&gt;400,"Duración mayor a 400 días: revisar fechas",IF(I363="","Falta la forma de pago",IF(L363="","Falta el monto cobrado","OK"))))))))))))</f>
        <v/>
      </c>
    </row>
    <row r="364" customFormat="false" ht="15" hidden="false" customHeight="false" outlineLevel="0" collapsed="false">
      <c r="A364" s="18"/>
      <c r="B364" s="19"/>
      <c r="C364" s="20"/>
      <c r="D364" s="20"/>
      <c r="E364" s="19"/>
      <c r="F364" s="18"/>
      <c r="G364" s="21"/>
      <c r="H364" s="21"/>
      <c r="I364" s="18"/>
      <c r="J364" s="22"/>
      <c r="K364" s="23"/>
      <c r="L364" s="23"/>
      <c r="M364" s="24"/>
      <c r="N364" s="19"/>
      <c r="O364" s="25" t="str">
        <f aca="false">IF(OR(G364="",H364=""),"",H364-G364)</f>
        <v/>
      </c>
      <c r="P364" s="26" t="str">
        <f aca="false">IF(COUNTA(A364:N364)=0,"",IF(B364="","Falta el nombre",IF(C364="","Falta la cédula",IF(LEN(C364)&lt;&gt;10,"La cédula debe tener 10 dígitos",IF(F364="","Falta el tipo de plan",IF(G364="","Falta la fecha de inicio",IF(H364="","Falta la fecha de vencimiento",IF(O364&lt;=0,"El vencimiento debe ser posterior al inicio",IF(AND(F364&lt;&gt;"DIARIO",O364&lt;21),"Duración muy corta: revisar fechas",IF(O364&gt;400,"Duración mayor a 400 días: revisar fechas",IF(I364="","Falta la forma de pago",IF(L364="","Falta el monto cobrado","OK"))))))))))))</f>
        <v/>
      </c>
    </row>
    <row r="365" customFormat="false" ht="15" hidden="false" customHeight="false" outlineLevel="0" collapsed="false">
      <c r="A365" s="18"/>
      <c r="B365" s="19"/>
      <c r="C365" s="20"/>
      <c r="D365" s="20"/>
      <c r="E365" s="19"/>
      <c r="F365" s="18"/>
      <c r="G365" s="21"/>
      <c r="H365" s="21"/>
      <c r="I365" s="18"/>
      <c r="J365" s="22"/>
      <c r="K365" s="23"/>
      <c r="L365" s="23"/>
      <c r="M365" s="24"/>
      <c r="N365" s="19"/>
      <c r="O365" s="25" t="str">
        <f aca="false">IF(OR(G365="",H365=""),"",H365-G365)</f>
        <v/>
      </c>
      <c r="P365" s="26" t="str">
        <f aca="false">IF(COUNTA(A365:N365)=0,"",IF(B365="","Falta el nombre",IF(C365="","Falta la cédula",IF(LEN(C365)&lt;&gt;10,"La cédula debe tener 10 dígitos",IF(F365="","Falta el tipo de plan",IF(G365="","Falta la fecha de inicio",IF(H365="","Falta la fecha de vencimiento",IF(O365&lt;=0,"El vencimiento debe ser posterior al inicio",IF(AND(F365&lt;&gt;"DIARIO",O365&lt;21),"Duración muy corta: revisar fechas",IF(O365&gt;400,"Duración mayor a 400 días: revisar fechas",IF(I365="","Falta la forma de pago",IF(L365="","Falta el monto cobrado","OK"))))))))))))</f>
        <v/>
      </c>
    </row>
    <row r="366" customFormat="false" ht="15" hidden="false" customHeight="false" outlineLevel="0" collapsed="false">
      <c r="A366" s="18"/>
      <c r="B366" s="19"/>
      <c r="C366" s="20"/>
      <c r="D366" s="20"/>
      <c r="E366" s="19"/>
      <c r="F366" s="18"/>
      <c r="G366" s="21"/>
      <c r="H366" s="21"/>
      <c r="I366" s="18"/>
      <c r="J366" s="22"/>
      <c r="K366" s="23"/>
      <c r="L366" s="23"/>
      <c r="M366" s="24"/>
      <c r="N366" s="19"/>
      <c r="O366" s="25" t="str">
        <f aca="false">IF(OR(G366="",H366=""),"",H366-G366)</f>
        <v/>
      </c>
      <c r="P366" s="26" t="str">
        <f aca="false">IF(COUNTA(A366:N366)=0,"",IF(B366="","Falta el nombre",IF(C366="","Falta la cédula",IF(LEN(C366)&lt;&gt;10,"La cédula debe tener 10 dígitos",IF(F366="","Falta el tipo de plan",IF(G366="","Falta la fecha de inicio",IF(H366="","Falta la fecha de vencimiento",IF(O366&lt;=0,"El vencimiento debe ser posterior al inicio",IF(AND(F366&lt;&gt;"DIARIO",O366&lt;21),"Duración muy corta: revisar fechas",IF(O366&gt;400,"Duración mayor a 400 días: revisar fechas",IF(I366="","Falta la forma de pago",IF(L366="","Falta el monto cobrado","OK"))))))))))))</f>
        <v/>
      </c>
    </row>
    <row r="367" customFormat="false" ht="15" hidden="false" customHeight="false" outlineLevel="0" collapsed="false">
      <c r="A367" s="18"/>
      <c r="B367" s="19"/>
      <c r="C367" s="20"/>
      <c r="D367" s="20"/>
      <c r="E367" s="19"/>
      <c r="F367" s="18"/>
      <c r="G367" s="21"/>
      <c r="H367" s="21"/>
      <c r="I367" s="18"/>
      <c r="J367" s="22"/>
      <c r="K367" s="23"/>
      <c r="L367" s="23"/>
      <c r="M367" s="24"/>
      <c r="N367" s="19"/>
      <c r="O367" s="25" t="str">
        <f aca="false">IF(OR(G367="",H367=""),"",H367-G367)</f>
        <v/>
      </c>
      <c r="P367" s="26" t="str">
        <f aca="false">IF(COUNTA(A367:N367)=0,"",IF(B367="","Falta el nombre",IF(C367="","Falta la cédula",IF(LEN(C367)&lt;&gt;10,"La cédula debe tener 10 dígitos",IF(F367="","Falta el tipo de plan",IF(G367="","Falta la fecha de inicio",IF(H367="","Falta la fecha de vencimiento",IF(O367&lt;=0,"El vencimiento debe ser posterior al inicio",IF(AND(F367&lt;&gt;"DIARIO",O367&lt;21),"Duración muy corta: revisar fechas",IF(O367&gt;400,"Duración mayor a 400 días: revisar fechas",IF(I367="","Falta la forma de pago",IF(L367="","Falta el monto cobrado","OK"))))))))))))</f>
        <v/>
      </c>
    </row>
    <row r="368" customFormat="false" ht="15" hidden="false" customHeight="false" outlineLevel="0" collapsed="false">
      <c r="A368" s="18"/>
      <c r="B368" s="19"/>
      <c r="C368" s="20"/>
      <c r="D368" s="20"/>
      <c r="E368" s="19"/>
      <c r="F368" s="18"/>
      <c r="G368" s="21"/>
      <c r="H368" s="21"/>
      <c r="I368" s="18"/>
      <c r="J368" s="22"/>
      <c r="K368" s="23"/>
      <c r="L368" s="23"/>
      <c r="M368" s="24"/>
      <c r="N368" s="19"/>
      <c r="O368" s="25" t="str">
        <f aca="false">IF(OR(G368="",H368=""),"",H368-G368)</f>
        <v/>
      </c>
      <c r="P368" s="26" t="str">
        <f aca="false">IF(COUNTA(A368:N368)=0,"",IF(B368="","Falta el nombre",IF(C368="","Falta la cédula",IF(LEN(C368)&lt;&gt;10,"La cédula debe tener 10 dígitos",IF(F368="","Falta el tipo de plan",IF(G368="","Falta la fecha de inicio",IF(H368="","Falta la fecha de vencimiento",IF(O368&lt;=0,"El vencimiento debe ser posterior al inicio",IF(AND(F368&lt;&gt;"DIARIO",O368&lt;21),"Duración muy corta: revisar fechas",IF(O368&gt;400,"Duración mayor a 400 días: revisar fechas",IF(I368="","Falta la forma de pago",IF(L368="","Falta el monto cobrado","OK"))))))))))))</f>
        <v/>
      </c>
    </row>
    <row r="369" customFormat="false" ht="15" hidden="false" customHeight="false" outlineLevel="0" collapsed="false">
      <c r="A369" s="18"/>
      <c r="B369" s="19"/>
      <c r="C369" s="20"/>
      <c r="D369" s="20"/>
      <c r="E369" s="19"/>
      <c r="F369" s="18"/>
      <c r="G369" s="21"/>
      <c r="H369" s="21"/>
      <c r="I369" s="18"/>
      <c r="J369" s="22"/>
      <c r="K369" s="23"/>
      <c r="L369" s="23"/>
      <c r="M369" s="24"/>
      <c r="N369" s="19"/>
      <c r="O369" s="25" t="str">
        <f aca="false">IF(OR(G369="",H369=""),"",H369-G369)</f>
        <v/>
      </c>
      <c r="P369" s="26" t="str">
        <f aca="false">IF(COUNTA(A369:N369)=0,"",IF(B369="","Falta el nombre",IF(C369="","Falta la cédula",IF(LEN(C369)&lt;&gt;10,"La cédula debe tener 10 dígitos",IF(F369="","Falta el tipo de plan",IF(G369="","Falta la fecha de inicio",IF(H369="","Falta la fecha de vencimiento",IF(O369&lt;=0,"El vencimiento debe ser posterior al inicio",IF(AND(F369&lt;&gt;"DIARIO",O369&lt;21),"Duración muy corta: revisar fechas",IF(O369&gt;400,"Duración mayor a 400 días: revisar fechas",IF(I369="","Falta la forma de pago",IF(L369="","Falta el monto cobrado","OK"))))))))))))</f>
        <v/>
      </c>
    </row>
    <row r="370" customFormat="false" ht="15" hidden="false" customHeight="false" outlineLevel="0" collapsed="false">
      <c r="A370" s="18"/>
      <c r="B370" s="19"/>
      <c r="C370" s="20"/>
      <c r="D370" s="20"/>
      <c r="E370" s="19"/>
      <c r="F370" s="18"/>
      <c r="G370" s="21"/>
      <c r="H370" s="21"/>
      <c r="I370" s="18"/>
      <c r="J370" s="22"/>
      <c r="K370" s="23"/>
      <c r="L370" s="23"/>
      <c r="M370" s="24"/>
      <c r="N370" s="19"/>
      <c r="O370" s="25" t="str">
        <f aca="false">IF(OR(G370="",H370=""),"",H370-G370)</f>
        <v/>
      </c>
      <c r="P370" s="26" t="str">
        <f aca="false">IF(COUNTA(A370:N370)=0,"",IF(B370="","Falta el nombre",IF(C370="","Falta la cédula",IF(LEN(C370)&lt;&gt;10,"La cédula debe tener 10 dígitos",IF(F370="","Falta el tipo de plan",IF(G370="","Falta la fecha de inicio",IF(H370="","Falta la fecha de vencimiento",IF(O370&lt;=0,"El vencimiento debe ser posterior al inicio",IF(AND(F370&lt;&gt;"DIARIO",O370&lt;21),"Duración muy corta: revisar fechas",IF(O370&gt;400,"Duración mayor a 400 días: revisar fechas",IF(I370="","Falta la forma de pago",IF(L370="","Falta el monto cobrado","OK"))))))))))))</f>
        <v/>
      </c>
    </row>
    <row r="371" customFormat="false" ht="15" hidden="false" customHeight="false" outlineLevel="0" collapsed="false">
      <c r="A371" s="18"/>
      <c r="B371" s="19"/>
      <c r="C371" s="20"/>
      <c r="D371" s="20"/>
      <c r="E371" s="19"/>
      <c r="F371" s="18"/>
      <c r="G371" s="21"/>
      <c r="H371" s="21"/>
      <c r="I371" s="18"/>
      <c r="J371" s="22"/>
      <c r="K371" s="23"/>
      <c r="L371" s="23"/>
      <c r="M371" s="24"/>
      <c r="N371" s="19"/>
      <c r="O371" s="25" t="str">
        <f aca="false">IF(OR(G371="",H371=""),"",H371-G371)</f>
        <v/>
      </c>
      <c r="P371" s="26" t="str">
        <f aca="false">IF(COUNTA(A371:N371)=0,"",IF(B371="","Falta el nombre",IF(C371="","Falta la cédula",IF(LEN(C371)&lt;&gt;10,"La cédula debe tener 10 dígitos",IF(F371="","Falta el tipo de plan",IF(G371="","Falta la fecha de inicio",IF(H371="","Falta la fecha de vencimiento",IF(O371&lt;=0,"El vencimiento debe ser posterior al inicio",IF(AND(F371&lt;&gt;"DIARIO",O371&lt;21),"Duración muy corta: revisar fechas",IF(O371&gt;400,"Duración mayor a 400 días: revisar fechas",IF(I371="","Falta la forma de pago",IF(L371="","Falta el monto cobrado","OK"))))))))))))</f>
        <v/>
      </c>
    </row>
    <row r="372" customFormat="false" ht="15" hidden="false" customHeight="false" outlineLevel="0" collapsed="false">
      <c r="A372" s="18"/>
      <c r="B372" s="19"/>
      <c r="C372" s="20"/>
      <c r="D372" s="20"/>
      <c r="E372" s="19"/>
      <c r="F372" s="18"/>
      <c r="G372" s="21"/>
      <c r="H372" s="21"/>
      <c r="I372" s="18"/>
      <c r="J372" s="22"/>
      <c r="K372" s="23"/>
      <c r="L372" s="23"/>
      <c r="M372" s="24"/>
      <c r="N372" s="19"/>
      <c r="O372" s="25" t="str">
        <f aca="false">IF(OR(G372="",H372=""),"",H372-G372)</f>
        <v/>
      </c>
      <c r="P372" s="26" t="str">
        <f aca="false">IF(COUNTA(A372:N372)=0,"",IF(B372="","Falta el nombre",IF(C372="","Falta la cédula",IF(LEN(C372)&lt;&gt;10,"La cédula debe tener 10 dígitos",IF(F372="","Falta el tipo de plan",IF(G372="","Falta la fecha de inicio",IF(H372="","Falta la fecha de vencimiento",IF(O372&lt;=0,"El vencimiento debe ser posterior al inicio",IF(AND(F372&lt;&gt;"DIARIO",O372&lt;21),"Duración muy corta: revisar fechas",IF(O372&gt;400,"Duración mayor a 400 días: revisar fechas",IF(I372="","Falta la forma de pago",IF(L372="","Falta el monto cobrado","OK"))))))))))))</f>
        <v/>
      </c>
    </row>
    <row r="373" customFormat="false" ht="15" hidden="false" customHeight="false" outlineLevel="0" collapsed="false">
      <c r="A373" s="18"/>
      <c r="B373" s="19"/>
      <c r="C373" s="20"/>
      <c r="D373" s="20"/>
      <c r="E373" s="19"/>
      <c r="F373" s="18"/>
      <c r="G373" s="21"/>
      <c r="H373" s="21"/>
      <c r="I373" s="18"/>
      <c r="J373" s="22"/>
      <c r="K373" s="23"/>
      <c r="L373" s="23"/>
      <c r="M373" s="24"/>
      <c r="N373" s="19"/>
      <c r="O373" s="25" t="str">
        <f aca="false">IF(OR(G373="",H373=""),"",H373-G373)</f>
        <v/>
      </c>
      <c r="P373" s="26" t="str">
        <f aca="false">IF(COUNTA(A373:N373)=0,"",IF(B373="","Falta el nombre",IF(C373="","Falta la cédula",IF(LEN(C373)&lt;&gt;10,"La cédula debe tener 10 dígitos",IF(F373="","Falta el tipo de plan",IF(G373="","Falta la fecha de inicio",IF(H373="","Falta la fecha de vencimiento",IF(O373&lt;=0,"El vencimiento debe ser posterior al inicio",IF(AND(F373&lt;&gt;"DIARIO",O373&lt;21),"Duración muy corta: revisar fechas",IF(O373&gt;400,"Duración mayor a 400 días: revisar fechas",IF(I373="","Falta la forma de pago",IF(L373="","Falta el monto cobrado","OK"))))))))))))</f>
        <v/>
      </c>
    </row>
    <row r="374" customFormat="false" ht="15" hidden="false" customHeight="false" outlineLevel="0" collapsed="false">
      <c r="A374" s="18"/>
      <c r="B374" s="19"/>
      <c r="C374" s="20"/>
      <c r="D374" s="20"/>
      <c r="E374" s="19"/>
      <c r="F374" s="18"/>
      <c r="G374" s="21"/>
      <c r="H374" s="21"/>
      <c r="I374" s="18"/>
      <c r="J374" s="22"/>
      <c r="K374" s="23"/>
      <c r="L374" s="23"/>
      <c r="M374" s="24"/>
      <c r="N374" s="19"/>
      <c r="O374" s="25" t="str">
        <f aca="false">IF(OR(G374="",H374=""),"",H374-G374)</f>
        <v/>
      </c>
      <c r="P374" s="26" t="str">
        <f aca="false">IF(COUNTA(A374:N374)=0,"",IF(B374="","Falta el nombre",IF(C374="","Falta la cédula",IF(LEN(C374)&lt;&gt;10,"La cédula debe tener 10 dígitos",IF(F374="","Falta el tipo de plan",IF(G374="","Falta la fecha de inicio",IF(H374="","Falta la fecha de vencimiento",IF(O374&lt;=0,"El vencimiento debe ser posterior al inicio",IF(AND(F374&lt;&gt;"DIARIO",O374&lt;21),"Duración muy corta: revisar fechas",IF(O374&gt;400,"Duración mayor a 400 días: revisar fechas",IF(I374="","Falta la forma de pago",IF(L374="","Falta el monto cobrado","OK"))))))))))))</f>
        <v/>
      </c>
    </row>
    <row r="375" customFormat="false" ht="15" hidden="false" customHeight="false" outlineLevel="0" collapsed="false">
      <c r="A375" s="18"/>
      <c r="B375" s="19"/>
      <c r="C375" s="20"/>
      <c r="D375" s="20"/>
      <c r="E375" s="19"/>
      <c r="F375" s="18"/>
      <c r="G375" s="21"/>
      <c r="H375" s="21"/>
      <c r="I375" s="18"/>
      <c r="J375" s="22"/>
      <c r="K375" s="23"/>
      <c r="L375" s="23"/>
      <c r="M375" s="24"/>
      <c r="N375" s="19"/>
      <c r="O375" s="25" t="str">
        <f aca="false">IF(OR(G375="",H375=""),"",H375-G375)</f>
        <v/>
      </c>
      <c r="P375" s="26" t="str">
        <f aca="false">IF(COUNTA(A375:N375)=0,"",IF(B375="","Falta el nombre",IF(C375="","Falta la cédula",IF(LEN(C375)&lt;&gt;10,"La cédula debe tener 10 dígitos",IF(F375="","Falta el tipo de plan",IF(G375="","Falta la fecha de inicio",IF(H375="","Falta la fecha de vencimiento",IF(O375&lt;=0,"El vencimiento debe ser posterior al inicio",IF(AND(F375&lt;&gt;"DIARIO",O375&lt;21),"Duración muy corta: revisar fechas",IF(O375&gt;400,"Duración mayor a 400 días: revisar fechas",IF(I375="","Falta la forma de pago",IF(L375="","Falta el monto cobrado","OK"))))))))))))</f>
        <v/>
      </c>
    </row>
    <row r="376" customFormat="false" ht="15" hidden="false" customHeight="false" outlineLevel="0" collapsed="false">
      <c r="A376" s="18"/>
      <c r="B376" s="19"/>
      <c r="C376" s="20"/>
      <c r="D376" s="20"/>
      <c r="E376" s="19"/>
      <c r="F376" s="18"/>
      <c r="G376" s="21"/>
      <c r="H376" s="21"/>
      <c r="I376" s="18"/>
      <c r="J376" s="22"/>
      <c r="K376" s="23"/>
      <c r="L376" s="23"/>
      <c r="M376" s="24"/>
      <c r="N376" s="19"/>
      <c r="O376" s="25" t="str">
        <f aca="false">IF(OR(G376="",H376=""),"",H376-G376)</f>
        <v/>
      </c>
      <c r="P376" s="26" t="str">
        <f aca="false">IF(COUNTA(A376:N376)=0,"",IF(B376="","Falta el nombre",IF(C376="","Falta la cédula",IF(LEN(C376)&lt;&gt;10,"La cédula debe tener 10 dígitos",IF(F376="","Falta el tipo de plan",IF(G376="","Falta la fecha de inicio",IF(H376="","Falta la fecha de vencimiento",IF(O376&lt;=0,"El vencimiento debe ser posterior al inicio",IF(AND(F376&lt;&gt;"DIARIO",O376&lt;21),"Duración muy corta: revisar fechas",IF(O376&gt;400,"Duración mayor a 400 días: revisar fechas",IF(I376="","Falta la forma de pago",IF(L376="","Falta el monto cobrado","OK"))))))))))))</f>
        <v/>
      </c>
    </row>
    <row r="377" customFormat="false" ht="15" hidden="false" customHeight="false" outlineLevel="0" collapsed="false">
      <c r="A377" s="18"/>
      <c r="B377" s="19"/>
      <c r="C377" s="20"/>
      <c r="D377" s="20"/>
      <c r="E377" s="19"/>
      <c r="F377" s="18"/>
      <c r="G377" s="21"/>
      <c r="H377" s="21"/>
      <c r="I377" s="18"/>
      <c r="J377" s="22"/>
      <c r="K377" s="23"/>
      <c r="L377" s="23"/>
      <c r="M377" s="24"/>
      <c r="N377" s="19"/>
      <c r="O377" s="25" t="str">
        <f aca="false">IF(OR(G377="",H377=""),"",H377-G377)</f>
        <v/>
      </c>
      <c r="P377" s="26" t="str">
        <f aca="false">IF(COUNTA(A377:N377)=0,"",IF(B377="","Falta el nombre",IF(C377="","Falta la cédula",IF(LEN(C377)&lt;&gt;10,"La cédula debe tener 10 dígitos",IF(F377="","Falta el tipo de plan",IF(G377="","Falta la fecha de inicio",IF(H377="","Falta la fecha de vencimiento",IF(O377&lt;=0,"El vencimiento debe ser posterior al inicio",IF(AND(F377&lt;&gt;"DIARIO",O377&lt;21),"Duración muy corta: revisar fechas",IF(O377&gt;400,"Duración mayor a 400 días: revisar fechas",IF(I377="","Falta la forma de pago",IF(L377="","Falta el monto cobrado","OK"))))))))))))</f>
        <v/>
      </c>
    </row>
    <row r="378" customFormat="false" ht="15" hidden="false" customHeight="false" outlineLevel="0" collapsed="false">
      <c r="A378" s="18"/>
      <c r="B378" s="19"/>
      <c r="C378" s="20"/>
      <c r="D378" s="20"/>
      <c r="E378" s="19"/>
      <c r="F378" s="18"/>
      <c r="G378" s="21"/>
      <c r="H378" s="21"/>
      <c r="I378" s="18"/>
      <c r="J378" s="22"/>
      <c r="K378" s="23"/>
      <c r="L378" s="23"/>
      <c r="M378" s="24"/>
      <c r="N378" s="19"/>
      <c r="O378" s="25" t="str">
        <f aca="false">IF(OR(G378="",H378=""),"",H378-G378)</f>
        <v/>
      </c>
      <c r="P378" s="26" t="str">
        <f aca="false">IF(COUNTA(A378:N378)=0,"",IF(B378="","Falta el nombre",IF(C378="","Falta la cédula",IF(LEN(C378)&lt;&gt;10,"La cédula debe tener 10 dígitos",IF(F378="","Falta el tipo de plan",IF(G378="","Falta la fecha de inicio",IF(H378="","Falta la fecha de vencimiento",IF(O378&lt;=0,"El vencimiento debe ser posterior al inicio",IF(AND(F378&lt;&gt;"DIARIO",O378&lt;21),"Duración muy corta: revisar fechas",IF(O378&gt;400,"Duración mayor a 400 días: revisar fechas",IF(I378="","Falta la forma de pago",IF(L378="","Falta el monto cobrado","OK"))))))))))))</f>
        <v/>
      </c>
    </row>
    <row r="379" customFormat="false" ht="15" hidden="false" customHeight="false" outlineLevel="0" collapsed="false">
      <c r="A379" s="18"/>
      <c r="B379" s="19"/>
      <c r="C379" s="20"/>
      <c r="D379" s="20"/>
      <c r="E379" s="19"/>
      <c r="F379" s="18"/>
      <c r="G379" s="21"/>
      <c r="H379" s="21"/>
      <c r="I379" s="18"/>
      <c r="J379" s="22"/>
      <c r="K379" s="23"/>
      <c r="L379" s="23"/>
      <c r="M379" s="24"/>
      <c r="N379" s="19"/>
      <c r="O379" s="25" t="str">
        <f aca="false">IF(OR(G379="",H379=""),"",H379-G379)</f>
        <v/>
      </c>
      <c r="P379" s="26" t="str">
        <f aca="false">IF(COUNTA(A379:N379)=0,"",IF(B379="","Falta el nombre",IF(C379="","Falta la cédula",IF(LEN(C379)&lt;&gt;10,"La cédula debe tener 10 dígitos",IF(F379="","Falta el tipo de plan",IF(G379="","Falta la fecha de inicio",IF(H379="","Falta la fecha de vencimiento",IF(O379&lt;=0,"El vencimiento debe ser posterior al inicio",IF(AND(F379&lt;&gt;"DIARIO",O379&lt;21),"Duración muy corta: revisar fechas",IF(O379&gt;400,"Duración mayor a 400 días: revisar fechas",IF(I379="","Falta la forma de pago",IF(L379="","Falta el monto cobrado","OK"))))))))))))</f>
        <v/>
      </c>
    </row>
    <row r="380" customFormat="false" ht="15" hidden="false" customHeight="false" outlineLevel="0" collapsed="false">
      <c r="A380" s="18"/>
      <c r="B380" s="19"/>
      <c r="C380" s="20"/>
      <c r="D380" s="20"/>
      <c r="E380" s="19"/>
      <c r="F380" s="18"/>
      <c r="G380" s="21"/>
      <c r="H380" s="21"/>
      <c r="I380" s="18"/>
      <c r="J380" s="22"/>
      <c r="K380" s="23"/>
      <c r="L380" s="23"/>
      <c r="M380" s="24"/>
      <c r="N380" s="19"/>
      <c r="O380" s="25" t="str">
        <f aca="false">IF(OR(G380="",H380=""),"",H380-G380)</f>
        <v/>
      </c>
      <c r="P380" s="26" t="str">
        <f aca="false">IF(COUNTA(A380:N380)=0,"",IF(B380="","Falta el nombre",IF(C380="","Falta la cédula",IF(LEN(C380)&lt;&gt;10,"La cédula debe tener 10 dígitos",IF(F380="","Falta el tipo de plan",IF(G380="","Falta la fecha de inicio",IF(H380="","Falta la fecha de vencimiento",IF(O380&lt;=0,"El vencimiento debe ser posterior al inicio",IF(AND(F380&lt;&gt;"DIARIO",O380&lt;21),"Duración muy corta: revisar fechas",IF(O380&gt;400,"Duración mayor a 400 días: revisar fechas",IF(I380="","Falta la forma de pago",IF(L380="","Falta el monto cobrado","OK"))))))))))))</f>
        <v/>
      </c>
    </row>
    <row r="381" customFormat="false" ht="15" hidden="false" customHeight="false" outlineLevel="0" collapsed="false">
      <c r="A381" s="18"/>
      <c r="B381" s="19"/>
      <c r="C381" s="20"/>
      <c r="D381" s="20"/>
      <c r="E381" s="19"/>
      <c r="F381" s="18"/>
      <c r="G381" s="21"/>
      <c r="H381" s="21"/>
      <c r="I381" s="18"/>
      <c r="J381" s="22"/>
      <c r="K381" s="23"/>
      <c r="L381" s="23"/>
      <c r="M381" s="24"/>
      <c r="N381" s="19"/>
      <c r="O381" s="25" t="str">
        <f aca="false">IF(OR(G381="",H381=""),"",H381-G381)</f>
        <v/>
      </c>
      <c r="P381" s="26" t="str">
        <f aca="false">IF(COUNTA(A381:N381)=0,"",IF(B381="","Falta el nombre",IF(C381="","Falta la cédula",IF(LEN(C381)&lt;&gt;10,"La cédula debe tener 10 dígitos",IF(F381="","Falta el tipo de plan",IF(G381="","Falta la fecha de inicio",IF(H381="","Falta la fecha de vencimiento",IF(O381&lt;=0,"El vencimiento debe ser posterior al inicio",IF(AND(F381&lt;&gt;"DIARIO",O381&lt;21),"Duración muy corta: revisar fechas",IF(O381&gt;400,"Duración mayor a 400 días: revisar fechas",IF(I381="","Falta la forma de pago",IF(L381="","Falta el monto cobrado","OK"))))))))))))</f>
        <v/>
      </c>
    </row>
    <row r="382" customFormat="false" ht="15" hidden="false" customHeight="false" outlineLevel="0" collapsed="false">
      <c r="A382" s="18"/>
      <c r="B382" s="19"/>
      <c r="C382" s="20"/>
      <c r="D382" s="20"/>
      <c r="E382" s="19"/>
      <c r="F382" s="18"/>
      <c r="G382" s="21"/>
      <c r="H382" s="21"/>
      <c r="I382" s="18"/>
      <c r="J382" s="22"/>
      <c r="K382" s="23"/>
      <c r="L382" s="23"/>
      <c r="M382" s="24"/>
      <c r="N382" s="19"/>
      <c r="O382" s="25" t="str">
        <f aca="false">IF(OR(G382="",H382=""),"",H382-G382)</f>
        <v/>
      </c>
      <c r="P382" s="26" t="str">
        <f aca="false">IF(COUNTA(A382:N382)=0,"",IF(B382="","Falta el nombre",IF(C382="","Falta la cédula",IF(LEN(C382)&lt;&gt;10,"La cédula debe tener 10 dígitos",IF(F382="","Falta el tipo de plan",IF(G382="","Falta la fecha de inicio",IF(H382="","Falta la fecha de vencimiento",IF(O382&lt;=0,"El vencimiento debe ser posterior al inicio",IF(AND(F382&lt;&gt;"DIARIO",O382&lt;21),"Duración muy corta: revisar fechas",IF(O382&gt;400,"Duración mayor a 400 días: revisar fechas",IF(I382="","Falta la forma de pago",IF(L382="","Falta el monto cobrado","OK"))))))))))))</f>
        <v/>
      </c>
    </row>
    <row r="383" customFormat="false" ht="15" hidden="false" customHeight="false" outlineLevel="0" collapsed="false">
      <c r="A383" s="18"/>
      <c r="B383" s="19"/>
      <c r="C383" s="20"/>
      <c r="D383" s="20"/>
      <c r="E383" s="19"/>
      <c r="F383" s="18"/>
      <c r="G383" s="21"/>
      <c r="H383" s="21"/>
      <c r="I383" s="18"/>
      <c r="J383" s="22"/>
      <c r="K383" s="23"/>
      <c r="L383" s="23"/>
      <c r="M383" s="24"/>
      <c r="N383" s="19"/>
      <c r="O383" s="25" t="str">
        <f aca="false">IF(OR(G383="",H383=""),"",H383-G383)</f>
        <v/>
      </c>
      <c r="P383" s="26" t="str">
        <f aca="false">IF(COUNTA(A383:N383)=0,"",IF(B383="","Falta el nombre",IF(C383="","Falta la cédula",IF(LEN(C383)&lt;&gt;10,"La cédula debe tener 10 dígitos",IF(F383="","Falta el tipo de plan",IF(G383="","Falta la fecha de inicio",IF(H383="","Falta la fecha de vencimiento",IF(O383&lt;=0,"El vencimiento debe ser posterior al inicio",IF(AND(F383&lt;&gt;"DIARIO",O383&lt;21),"Duración muy corta: revisar fechas",IF(O383&gt;400,"Duración mayor a 400 días: revisar fechas",IF(I383="","Falta la forma de pago",IF(L383="","Falta el monto cobrado","OK"))))))))))))</f>
        <v/>
      </c>
    </row>
    <row r="384" customFormat="false" ht="15" hidden="false" customHeight="false" outlineLevel="0" collapsed="false">
      <c r="A384" s="18"/>
      <c r="B384" s="19"/>
      <c r="C384" s="20"/>
      <c r="D384" s="20"/>
      <c r="E384" s="19"/>
      <c r="F384" s="18"/>
      <c r="G384" s="21"/>
      <c r="H384" s="21"/>
      <c r="I384" s="18"/>
      <c r="J384" s="22"/>
      <c r="K384" s="23"/>
      <c r="L384" s="23"/>
      <c r="M384" s="24"/>
      <c r="N384" s="19"/>
      <c r="O384" s="25" t="str">
        <f aca="false">IF(OR(G384="",H384=""),"",H384-G384)</f>
        <v/>
      </c>
      <c r="P384" s="26" t="str">
        <f aca="false">IF(COUNTA(A384:N384)=0,"",IF(B384="","Falta el nombre",IF(C384="","Falta la cédula",IF(LEN(C384)&lt;&gt;10,"La cédula debe tener 10 dígitos",IF(F384="","Falta el tipo de plan",IF(G384="","Falta la fecha de inicio",IF(H384="","Falta la fecha de vencimiento",IF(O384&lt;=0,"El vencimiento debe ser posterior al inicio",IF(AND(F384&lt;&gt;"DIARIO",O384&lt;21),"Duración muy corta: revisar fechas",IF(O384&gt;400,"Duración mayor a 400 días: revisar fechas",IF(I384="","Falta la forma de pago",IF(L384="","Falta el monto cobrado","OK"))))))))))))</f>
        <v/>
      </c>
    </row>
    <row r="385" customFormat="false" ht="15" hidden="false" customHeight="false" outlineLevel="0" collapsed="false">
      <c r="A385" s="18"/>
      <c r="B385" s="19"/>
      <c r="C385" s="20"/>
      <c r="D385" s="20"/>
      <c r="E385" s="19"/>
      <c r="F385" s="18"/>
      <c r="G385" s="21"/>
      <c r="H385" s="21"/>
      <c r="I385" s="18"/>
      <c r="J385" s="22"/>
      <c r="K385" s="23"/>
      <c r="L385" s="23"/>
      <c r="M385" s="24"/>
      <c r="N385" s="19"/>
      <c r="O385" s="25" t="str">
        <f aca="false">IF(OR(G385="",H385=""),"",H385-G385)</f>
        <v/>
      </c>
      <c r="P385" s="26" t="str">
        <f aca="false">IF(COUNTA(A385:N385)=0,"",IF(B385="","Falta el nombre",IF(C385="","Falta la cédula",IF(LEN(C385)&lt;&gt;10,"La cédula debe tener 10 dígitos",IF(F385="","Falta el tipo de plan",IF(G385="","Falta la fecha de inicio",IF(H385="","Falta la fecha de vencimiento",IF(O385&lt;=0,"El vencimiento debe ser posterior al inicio",IF(AND(F385&lt;&gt;"DIARIO",O385&lt;21),"Duración muy corta: revisar fechas",IF(O385&gt;400,"Duración mayor a 400 días: revisar fechas",IF(I385="","Falta la forma de pago",IF(L385="","Falta el monto cobrado","OK"))))))))))))</f>
        <v/>
      </c>
    </row>
    <row r="386" customFormat="false" ht="15" hidden="false" customHeight="false" outlineLevel="0" collapsed="false">
      <c r="A386" s="18"/>
      <c r="B386" s="19"/>
      <c r="C386" s="20"/>
      <c r="D386" s="20"/>
      <c r="E386" s="19"/>
      <c r="F386" s="18"/>
      <c r="G386" s="21"/>
      <c r="H386" s="21"/>
      <c r="I386" s="18"/>
      <c r="J386" s="22"/>
      <c r="K386" s="23"/>
      <c r="L386" s="23"/>
      <c r="M386" s="24"/>
      <c r="N386" s="19"/>
      <c r="O386" s="25" t="str">
        <f aca="false">IF(OR(G386="",H386=""),"",H386-G386)</f>
        <v/>
      </c>
      <c r="P386" s="26" t="str">
        <f aca="false">IF(COUNTA(A386:N386)=0,"",IF(B386="","Falta el nombre",IF(C386="","Falta la cédula",IF(LEN(C386)&lt;&gt;10,"La cédula debe tener 10 dígitos",IF(F386="","Falta el tipo de plan",IF(G386="","Falta la fecha de inicio",IF(H386="","Falta la fecha de vencimiento",IF(O386&lt;=0,"El vencimiento debe ser posterior al inicio",IF(AND(F386&lt;&gt;"DIARIO",O386&lt;21),"Duración muy corta: revisar fechas",IF(O386&gt;400,"Duración mayor a 400 días: revisar fechas",IF(I386="","Falta la forma de pago",IF(L386="","Falta el monto cobrado","OK"))))))))))))</f>
        <v/>
      </c>
    </row>
    <row r="387" customFormat="false" ht="15" hidden="false" customHeight="false" outlineLevel="0" collapsed="false">
      <c r="A387" s="18"/>
      <c r="B387" s="19"/>
      <c r="C387" s="20"/>
      <c r="D387" s="20"/>
      <c r="E387" s="19"/>
      <c r="F387" s="18"/>
      <c r="G387" s="21"/>
      <c r="H387" s="21"/>
      <c r="I387" s="18"/>
      <c r="J387" s="22"/>
      <c r="K387" s="23"/>
      <c r="L387" s="23"/>
      <c r="M387" s="24"/>
      <c r="N387" s="19"/>
      <c r="O387" s="25" t="str">
        <f aca="false">IF(OR(G387="",H387=""),"",H387-G387)</f>
        <v/>
      </c>
      <c r="P387" s="26" t="str">
        <f aca="false">IF(COUNTA(A387:N387)=0,"",IF(B387="","Falta el nombre",IF(C387="","Falta la cédula",IF(LEN(C387)&lt;&gt;10,"La cédula debe tener 10 dígitos",IF(F387="","Falta el tipo de plan",IF(G387="","Falta la fecha de inicio",IF(H387="","Falta la fecha de vencimiento",IF(O387&lt;=0,"El vencimiento debe ser posterior al inicio",IF(AND(F387&lt;&gt;"DIARIO",O387&lt;21),"Duración muy corta: revisar fechas",IF(O387&gt;400,"Duración mayor a 400 días: revisar fechas",IF(I387="","Falta la forma de pago",IF(L387="","Falta el monto cobrado","OK"))))))))))))</f>
        <v/>
      </c>
    </row>
    <row r="388" customFormat="false" ht="15" hidden="false" customHeight="false" outlineLevel="0" collapsed="false">
      <c r="A388" s="18"/>
      <c r="B388" s="19"/>
      <c r="C388" s="20"/>
      <c r="D388" s="20"/>
      <c r="E388" s="19"/>
      <c r="F388" s="18"/>
      <c r="G388" s="21"/>
      <c r="H388" s="21"/>
      <c r="I388" s="18"/>
      <c r="J388" s="22"/>
      <c r="K388" s="23"/>
      <c r="L388" s="23"/>
      <c r="M388" s="24"/>
      <c r="N388" s="19"/>
      <c r="O388" s="25" t="str">
        <f aca="false">IF(OR(G388="",H388=""),"",H388-G388)</f>
        <v/>
      </c>
      <c r="P388" s="26" t="str">
        <f aca="false">IF(COUNTA(A388:N388)=0,"",IF(B388="","Falta el nombre",IF(C388="","Falta la cédula",IF(LEN(C388)&lt;&gt;10,"La cédula debe tener 10 dígitos",IF(F388="","Falta el tipo de plan",IF(G388="","Falta la fecha de inicio",IF(H388="","Falta la fecha de vencimiento",IF(O388&lt;=0,"El vencimiento debe ser posterior al inicio",IF(AND(F388&lt;&gt;"DIARIO",O388&lt;21),"Duración muy corta: revisar fechas",IF(O388&gt;400,"Duración mayor a 400 días: revisar fechas",IF(I388="","Falta la forma de pago",IF(L388="","Falta el monto cobrado","OK"))))))))))))</f>
        <v/>
      </c>
    </row>
    <row r="389" customFormat="false" ht="15" hidden="false" customHeight="false" outlineLevel="0" collapsed="false">
      <c r="A389" s="18"/>
      <c r="B389" s="19"/>
      <c r="C389" s="20"/>
      <c r="D389" s="20"/>
      <c r="E389" s="19"/>
      <c r="F389" s="18"/>
      <c r="G389" s="21"/>
      <c r="H389" s="21"/>
      <c r="I389" s="18"/>
      <c r="J389" s="22"/>
      <c r="K389" s="23"/>
      <c r="L389" s="23"/>
      <c r="M389" s="24"/>
      <c r="N389" s="19"/>
      <c r="O389" s="25" t="str">
        <f aca="false">IF(OR(G389="",H389=""),"",H389-G389)</f>
        <v/>
      </c>
      <c r="P389" s="26" t="str">
        <f aca="false">IF(COUNTA(A389:N389)=0,"",IF(B389="","Falta el nombre",IF(C389="","Falta la cédula",IF(LEN(C389)&lt;&gt;10,"La cédula debe tener 10 dígitos",IF(F389="","Falta el tipo de plan",IF(G389="","Falta la fecha de inicio",IF(H389="","Falta la fecha de vencimiento",IF(O389&lt;=0,"El vencimiento debe ser posterior al inicio",IF(AND(F389&lt;&gt;"DIARIO",O389&lt;21),"Duración muy corta: revisar fechas",IF(O389&gt;400,"Duración mayor a 400 días: revisar fechas",IF(I389="","Falta la forma de pago",IF(L389="","Falta el monto cobrado","OK"))))))))))))</f>
        <v/>
      </c>
    </row>
    <row r="390" customFormat="false" ht="15" hidden="false" customHeight="false" outlineLevel="0" collapsed="false">
      <c r="A390" s="18"/>
      <c r="B390" s="19"/>
      <c r="C390" s="20"/>
      <c r="D390" s="20"/>
      <c r="E390" s="19"/>
      <c r="F390" s="18"/>
      <c r="G390" s="21"/>
      <c r="H390" s="21"/>
      <c r="I390" s="18"/>
      <c r="J390" s="22"/>
      <c r="K390" s="23"/>
      <c r="L390" s="23"/>
      <c r="M390" s="24"/>
      <c r="N390" s="19"/>
      <c r="O390" s="25" t="str">
        <f aca="false">IF(OR(G390="",H390=""),"",H390-G390)</f>
        <v/>
      </c>
      <c r="P390" s="26" t="str">
        <f aca="false">IF(COUNTA(A390:N390)=0,"",IF(B390="","Falta el nombre",IF(C390="","Falta la cédula",IF(LEN(C390)&lt;&gt;10,"La cédula debe tener 10 dígitos",IF(F390="","Falta el tipo de plan",IF(G390="","Falta la fecha de inicio",IF(H390="","Falta la fecha de vencimiento",IF(O390&lt;=0,"El vencimiento debe ser posterior al inicio",IF(AND(F390&lt;&gt;"DIARIO",O390&lt;21),"Duración muy corta: revisar fechas",IF(O390&gt;400,"Duración mayor a 400 días: revisar fechas",IF(I390="","Falta la forma de pago",IF(L390="","Falta el monto cobrado","OK"))))))))))))</f>
        <v/>
      </c>
    </row>
    <row r="391" customFormat="false" ht="15" hidden="false" customHeight="false" outlineLevel="0" collapsed="false">
      <c r="A391" s="18"/>
      <c r="B391" s="19"/>
      <c r="C391" s="20"/>
      <c r="D391" s="20"/>
      <c r="E391" s="19"/>
      <c r="F391" s="18"/>
      <c r="G391" s="21"/>
      <c r="H391" s="21"/>
      <c r="I391" s="18"/>
      <c r="J391" s="22"/>
      <c r="K391" s="23"/>
      <c r="L391" s="23"/>
      <c r="M391" s="24"/>
      <c r="N391" s="19"/>
      <c r="O391" s="25" t="str">
        <f aca="false">IF(OR(G391="",H391=""),"",H391-G391)</f>
        <v/>
      </c>
      <c r="P391" s="26" t="str">
        <f aca="false">IF(COUNTA(A391:N391)=0,"",IF(B391="","Falta el nombre",IF(C391="","Falta la cédula",IF(LEN(C391)&lt;&gt;10,"La cédula debe tener 10 dígitos",IF(F391="","Falta el tipo de plan",IF(G391="","Falta la fecha de inicio",IF(H391="","Falta la fecha de vencimiento",IF(O391&lt;=0,"El vencimiento debe ser posterior al inicio",IF(AND(F391&lt;&gt;"DIARIO",O391&lt;21),"Duración muy corta: revisar fechas",IF(O391&gt;400,"Duración mayor a 400 días: revisar fechas",IF(I391="","Falta la forma de pago",IF(L391="","Falta el monto cobrado","OK"))))))))))))</f>
        <v/>
      </c>
    </row>
    <row r="392" customFormat="false" ht="15" hidden="false" customHeight="false" outlineLevel="0" collapsed="false">
      <c r="A392" s="18"/>
      <c r="B392" s="19"/>
      <c r="C392" s="20"/>
      <c r="D392" s="20"/>
      <c r="E392" s="19"/>
      <c r="F392" s="18"/>
      <c r="G392" s="21"/>
      <c r="H392" s="21"/>
      <c r="I392" s="18"/>
      <c r="J392" s="22"/>
      <c r="K392" s="23"/>
      <c r="L392" s="23"/>
      <c r="M392" s="24"/>
      <c r="N392" s="19"/>
      <c r="O392" s="25" t="str">
        <f aca="false">IF(OR(G392="",H392=""),"",H392-G392)</f>
        <v/>
      </c>
      <c r="P392" s="26" t="str">
        <f aca="false">IF(COUNTA(A392:N392)=0,"",IF(B392="","Falta el nombre",IF(C392="","Falta la cédula",IF(LEN(C392)&lt;&gt;10,"La cédula debe tener 10 dígitos",IF(F392="","Falta el tipo de plan",IF(G392="","Falta la fecha de inicio",IF(H392="","Falta la fecha de vencimiento",IF(O392&lt;=0,"El vencimiento debe ser posterior al inicio",IF(AND(F392&lt;&gt;"DIARIO",O392&lt;21),"Duración muy corta: revisar fechas",IF(O392&gt;400,"Duración mayor a 400 días: revisar fechas",IF(I392="","Falta la forma de pago",IF(L392="","Falta el monto cobrado","OK"))))))))))))</f>
        <v/>
      </c>
    </row>
    <row r="393" customFormat="false" ht="15" hidden="false" customHeight="false" outlineLevel="0" collapsed="false">
      <c r="A393" s="18"/>
      <c r="B393" s="19"/>
      <c r="C393" s="20"/>
      <c r="D393" s="20"/>
      <c r="E393" s="19"/>
      <c r="F393" s="18"/>
      <c r="G393" s="21"/>
      <c r="H393" s="21"/>
      <c r="I393" s="18"/>
      <c r="J393" s="22"/>
      <c r="K393" s="23"/>
      <c r="L393" s="23"/>
      <c r="M393" s="24"/>
      <c r="N393" s="19"/>
      <c r="O393" s="25" t="str">
        <f aca="false">IF(OR(G393="",H393=""),"",H393-G393)</f>
        <v/>
      </c>
      <c r="P393" s="26" t="str">
        <f aca="false">IF(COUNTA(A393:N393)=0,"",IF(B393="","Falta el nombre",IF(C393="","Falta la cédula",IF(LEN(C393)&lt;&gt;10,"La cédula debe tener 10 dígitos",IF(F393="","Falta el tipo de plan",IF(G393="","Falta la fecha de inicio",IF(H393="","Falta la fecha de vencimiento",IF(O393&lt;=0,"El vencimiento debe ser posterior al inicio",IF(AND(F393&lt;&gt;"DIARIO",O393&lt;21),"Duración muy corta: revisar fechas",IF(O393&gt;400,"Duración mayor a 400 días: revisar fechas",IF(I393="","Falta la forma de pago",IF(L393="","Falta el monto cobrado","OK"))))))))))))</f>
        <v/>
      </c>
    </row>
    <row r="394" customFormat="false" ht="15" hidden="false" customHeight="false" outlineLevel="0" collapsed="false">
      <c r="A394" s="18"/>
      <c r="B394" s="19"/>
      <c r="C394" s="20"/>
      <c r="D394" s="20"/>
      <c r="E394" s="19"/>
      <c r="F394" s="18"/>
      <c r="G394" s="21"/>
      <c r="H394" s="21"/>
      <c r="I394" s="18"/>
      <c r="J394" s="22"/>
      <c r="K394" s="23"/>
      <c r="L394" s="23"/>
      <c r="M394" s="24"/>
      <c r="N394" s="19"/>
      <c r="O394" s="25" t="str">
        <f aca="false">IF(OR(G394="",H394=""),"",H394-G394)</f>
        <v/>
      </c>
      <c r="P394" s="26" t="str">
        <f aca="false">IF(COUNTA(A394:N394)=0,"",IF(B394="","Falta el nombre",IF(C394="","Falta la cédula",IF(LEN(C394)&lt;&gt;10,"La cédula debe tener 10 dígitos",IF(F394="","Falta el tipo de plan",IF(G394="","Falta la fecha de inicio",IF(H394="","Falta la fecha de vencimiento",IF(O394&lt;=0,"El vencimiento debe ser posterior al inicio",IF(AND(F394&lt;&gt;"DIARIO",O394&lt;21),"Duración muy corta: revisar fechas",IF(O394&gt;400,"Duración mayor a 400 días: revisar fechas",IF(I394="","Falta la forma de pago",IF(L394="","Falta el monto cobrado","OK"))))))))))))</f>
        <v/>
      </c>
    </row>
    <row r="395" customFormat="false" ht="15" hidden="false" customHeight="false" outlineLevel="0" collapsed="false">
      <c r="A395" s="18"/>
      <c r="B395" s="19"/>
      <c r="C395" s="20"/>
      <c r="D395" s="20"/>
      <c r="E395" s="19"/>
      <c r="F395" s="18"/>
      <c r="G395" s="21"/>
      <c r="H395" s="21"/>
      <c r="I395" s="18"/>
      <c r="J395" s="22"/>
      <c r="K395" s="23"/>
      <c r="L395" s="23"/>
      <c r="M395" s="24"/>
      <c r="N395" s="19"/>
      <c r="O395" s="25" t="str">
        <f aca="false">IF(OR(G395="",H395=""),"",H395-G395)</f>
        <v/>
      </c>
      <c r="P395" s="26" t="str">
        <f aca="false">IF(COUNTA(A395:N395)=0,"",IF(B395="","Falta el nombre",IF(C395="","Falta la cédula",IF(LEN(C395)&lt;&gt;10,"La cédula debe tener 10 dígitos",IF(F395="","Falta el tipo de plan",IF(G395="","Falta la fecha de inicio",IF(H395="","Falta la fecha de vencimiento",IF(O395&lt;=0,"El vencimiento debe ser posterior al inicio",IF(AND(F395&lt;&gt;"DIARIO",O395&lt;21),"Duración muy corta: revisar fechas",IF(O395&gt;400,"Duración mayor a 400 días: revisar fechas",IF(I395="","Falta la forma de pago",IF(L395="","Falta el monto cobrado","OK"))))))))))))</f>
        <v/>
      </c>
    </row>
    <row r="396" customFormat="false" ht="15" hidden="false" customHeight="false" outlineLevel="0" collapsed="false">
      <c r="A396" s="18"/>
      <c r="B396" s="19"/>
      <c r="C396" s="20"/>
      <c r="D396" s="20"/>
      <c r="E396" s="19"/>
      <c r="F396" s="18"/>
      <c r="G396" s="21"/>
      <c r="H396" s="21"/>
      <c r="I396" s="18"/>
      <c r="J396" s="22"/>
      <c r="K396" s="23"/>
      <c r="L396" s="23"/>
      <c r="M396" s="24"/>
      <c r="N396" s="19"/>
      <c r="O396" s="25" t="str">
        <f aca="false">IF(OR(G396="",H396=""),"",H396-G396)</f>
        <v/>
      </c>
      <c r="P396" s="26" t="str">
        <f aca="false">IF(COUNTA(A396:N396)=0,"",IF(B396="","Falta el nombre",IF(C396="","Falta la cédula",IF(LEN(C396)&lt;&gt;10,"La cédula debe tener 10 dígitos",IF(F396="","Falta el tipo de plan",IF(G396="","Falta la fecha de inicio",IF(H396="","Falta la fecha de vencimiento",IF(O396&lt;=0,"El vencimiento debe ser posterior al inicio",IF(AND(F396&lt;&gt;"DIARIO",O396&lt;21),"Duración muy corta: revisar fechas",IF(O396&gt;400,"Duración mayor a 400 días: revisar fechas",IF(I396="","Falta la forma de pago",IF(L396="","Falta el monto cobrado","OK"))))))))))))</f>
        <v/>
      </c>
    </row>
    <row r="397" customFormat="false" ht="15" hidden="false" customHeight="false" outlineLevel="0" collapsed="false">
      <c r="A397" s="18"/>
      <c r="B397" s="19"/>
      <c r="C397" s="20"/>
      <c r="D397" s="20"/>
      <c r="E397" s="19"/>
      <c r="F397" s="18"/>
      <c r="G397" s="21"/>
      <c r="H397" s="21"/>
      <c r="I397" s="18"/>
      <c r="J397" s="22"/>
      <c r="K397" s="23"/>
      <c r="L397" s="23"/>
      <c r="M397" s="24"/>
      <c r="N397" s="19"/>
      <c r="O397" s="25" t="str">
        <f aca="false">IF(OR(G397="",H397=""),"",H397-G397)</f>
        <v/>
      </c>
      <c r="P397" s="26" t="str">
        <f aca="false">IF(COUNTA(A397:N397)=0,"",IF(B397="","Falta el nombre",IF(C397="","Falta la cédula",IF(LEN(C397)&lt;&gt;10,"La cédula debe tener 10 dígitos",IF(F397="","Falta el tipo de plan",IF(G397="","Falta la fecha de inicio",IF(H397="","Falta la fecha de vencimiento",IF(O397&lt;=0,"El vencimiento debe ser posterior al inicio",IF(AND(F397&lt;&gt;"DIARIO",O397&lt;21),"Duración muy corta: revisar fechas",IF(O397&gt;400,"Duración mayor a 400 días: revisar fechas",IF(I397="","Falta la forma de pago",IF(L397="","Falta el monto cobrado","OK"))))))))))))</f>
        <v/>
      </c>
    </row>
    <row r="398" customFormat="false" ht="15" hidden="false" customHeight="false" outlineLevel="0" collapsed="false">
      <c r="A398" s="18"/>
      <c r="B398" s="19"/>
      <c r="C398" s="20"/>
      <c r="D398" s="20"/>
      <c r="E398" s="19"/>
      <c r="F398" s="18"/>
      <c r="G398" s="21"/>
      <c r="H398" s="21"/>
      <c r="I398" s="18"/>
      <c r="J398" s="22"/>
      <c r="K398" s="23"/>
      <c r="L398" s="23"/>
      <c r="M398" s="24"/>
      <c r="N398" s="19"/>
      <c r="O398" s="25" t="str">
        <f aca="false">IF(OR(G398="",H398=""),"",H398-G398)</f>
        <v/>
      </c>
      <c r="P398" s="26" t="str">
        <f aca="false">IF(COUNTA(A398:N398)=0,"",IF(B398="","Falta el nombre",IF(C398="","Falta la cédula",IF(LEN(C398)&lt;&gt;10,"La cédula debe tener 10 dígitos",IF(F398="","Falta el tipo de plan",IF(G398="","Falta la fecha de inicio",IF(H398="","Falta la fecha de vencimiento",IF(O398&lt;=0,"El vencimiento debe ser posterior al inicio",IF(AND(F398&lt;&gt;"DIARIO",O398&lt;21),"Duración muy corta: revisar fechas",IF(O398&gt;400,"Duración mayor a 400 días: revisar fechas",IF(I398="","Falta la forma de pago",IF(L398="","Falta el monto cobrado","OK"))))))))))))</f>
        <v/>
      </c>
    </row>
    <row r="399" customFormat="false" ht="15" hidden="false" customHeight="false" outlineLevel="0" collapsed="false">
      <c r="A399" s="18"/>
      <c r="B399" s="19"/>
      <c r="C399" s="20"/>
      <c r="D399" s="20"/>
      <c r="E399" s="19"/>
      <c r="F399" s="18"/>
      <c r="G399" s="21"/>
      <c r="H399" s="21"/>
      <c r="I399" s="18"/>
      <c r="J399" s="22"/>
      <c r="K399" s="23"/>
      <c r="L399" s="23"/>
      <c r="M399" s="24"/>
      <c r="N399" s="19"/>
      <c r="O399" s="25" t="str">
        <f aca="false">IF(OR(G399="",H399=""),"",H399-G399)</f>
        <v/>
      </c>
      <c r="P399" s="26" t="str">
        <f aca="false">IF(COUNTA(A399:N399)=0,"",IF(B399="","Falta el nombre",IF(C399="","Falta la cédula",IF(LEN(C399)&lt;&gt;10,"La cédula debe tener 10 dígitos",IF(F399="","Falta el tipo de plan",IF(G399="","Falta la fecha de inicio",IF(H399="","Falta la fecha de vencimiento",IF(O399&lt;=0,"El vencimiento debe ser posterior al inicio",IF(AND(F399&lt;&gt;"DIARIO",O399&lt;21),"Duración muy corta: revisar fechas",IF(O399&gt;400,"Duración mayor a 400 días: revisar fechas",IF(I399="","Falta la forma de pago",IF(L399="","Falta el monto cobrado","OK"))))))))))))</f>
        <v/>
      </c>
    </row>
    <row r="400" customFormat="false" ht="15" hidden="false" customHeight="false" outlineLevel="0" collapsed="false">
      <c r="A400" s="18"/>
      <c r="B400" s="19"/>
      <c r="C400" s="20"/>
      <c r="D400" s="20"/>
      <c r="E400" s="19"/>
      <c r="F400" s="18"/>
      <c r="G400" s="21"/>
      <c r="H400" s="21"/>
      <c r="I400" s="18"/>
      <c r="J400" s="22"/>
      <c r="K400" s="23"/>
      <c r="L400" s="23"/>
      <c r="M400" s="24"/>
      <c r="N400" s="19"/>
      <c r="O400" s="25" t="str">
        <f aca="false">IF(OR(G400="",H400=""),"",H400-G400)</f>
        <v/>
      </c>
      <c r="P400" s="26" t="str">
        <f aca="false">IF(COUNTA(A400:N400)=0,"",IF(B400="","Falta el nombre",IF(C400="","Falta la cédula",IF(LEN(C400)&lt;&gt;10,"La cédula debe tener 10 dígitos",IF(F400="","Falta el tipo de plan",IF(G400="","Falta la fecha de inicio",IF(H400="","Falta la fecha de vencimiento",IF(O400&lt;=0,"El vencimiento debe ser posterior al inicio",IF(AND(F400&lt;&gt;"DIARIO",O400&lt;21),"Duración muy corta: revisar fechas",IF(O400&gt;400,"Duración mayor a 400 días: revisar fechas",IF(I400="","Falta la forma de pago",IF(L400="","Falta el monto cobrado","OK"))))))))))))</f>
        <v/>
      </c>
    </row>
    <row r="401" customFormat="false" ht="15" hidden="false" customHeight="false" outlineLevel="0" collapsed="false">
      <c r="A401" s="18"/>
      <c r="B401" s="19"/>
      <c r="C401" s="20"/>
      <c r="D401" s="20"/>
      <c r="E401" s="19"/>
      <c r="F401" s="18"/>
      <c r="G401" s="21"/>
      <c r="H401" s="21"/>
      <c r="I401" s="18"/>
      <c r="J401" s="22"/>
      <c r="K401" s="23"/>
      <c r="L401" s="23"/>
      <c r="M401" s="24"/>
      <c r="N401" s="19"/>
      <c r="O401" s="25" t="str">
        <f aca="false">IF(OR(G401="",H401=""),"",H401-G401)</f>
        <v/>
      </c>
      <c r="P401" s="26" t="str">
        <f aca="false">IF(COUNTA(A401:N401)=0,"",IF(B401="","Falta el nombre",IF(C401="","Falta la cédula",IF(LEN(C401)&lt;&gt;10,"La cédula debe tener 10 dígitos",IF(F401="","Falta el tipo de plan",IF(G401="","Falta la fecha de inicio",IF(H401="","Falta la fecha de vencimiento",IF(O401&lt;=0,"El vencimiento debe ser posterior al inicio",IF(AND(F401&lt;&gt;"DIARIO",O401&lt;21),"Duración muy corta: revisar fechas",IF(O401&gt;400,"Duración mayor a 400 días: revisar fechas",IF(I401="","Falta la forma de pago",IF(L401="","Falta el monto cobrado","OK"))))))))))))</f>
        <v/>
      </c>
    </row>
    <row r="402" customFormat="false" ht="15" hidden="false" customHeight="false" outlineLevel="0" collapsed="false">
      <c r="A402" s="18"/>
      <c r="B402" s="19"/>
      <c r="C402" s="20"/>
      <c r="D402" s="20"/>
      <c r="E402" s="19"/>
      <c r="F402" s="18"/>
      <c r="G402" s="21"/>
      <c r="H402" s="21"/>
      <c r="I402" s="18"/>
      <c r="J402" s="22"/>
      <c r="K402" s="23"/>
      <c r="L402" s="23"/>
      <c r="M402" s="24"/>
      <c r="N402" s="19"/>
      <c r="O402" s="25" t="str">
        <f aca="false">IF(OR(G402="",H402=""),"",H402-G402)</f>
        <v/>
      </c>
      <c r="P402" s="26" t="str">
        <f aca="false">IF(COUNTA(A402:N402)=0,"",IF(B402="","Falta el nombre",IF(C402="","Falta la cédula",IF(LEN(C402)&lt;&gt;10,"La cédula debe tener 10 dígitos",IF(F402="","Falta el tipo de plan",IF(G402="","Falta la fecha de inicio",IF(H402="","Falta la fecha de vencimiento",IF(O402&lt;=0,"El vencimiento debe ser posterior al inicio",IF(AND(F402&lt;&gt;"DIARIO",O402&lt;21),"Duración muy corta: revisar fechas",IF(O402&gt;400,"Duración mayor a 400 días: revisar fechas",IF(I402="","Falta la forma de pago",IF(L402="","Falta el monto cobrado","OK"))))))))))))</f>
        <v/>
      </c>
    </row>
    <row r="403" customFormat="false" ht="15" hidden="false" customHeight="false" outlineLevel="0" collapsed="false">
      <c r="A403" s="18"/>
      <c r="B403" s="19"/>
      <c r="C403" s="20"/>
      <c r="D403" s="20"/>
      <c r="E403" s="19"/>
      <c r="F403" s="18"/>
      <c r="G403" s="21"/>
      <c r="H403" s="21"/>
      <c r="I403" s="18"/>
      <c r="J403" s="22"/>
      <c r="K403" s="23"/>
      <c r="L403" s="23"/>
      <c r="M403" s="24"/>
      <c r="N403" s="19"/>
      <c r="O403" s="25" t="str">
        <f aca="false">IF(OR(G403="",H403=""),"",H403-G403)</f>
        <v/>
      </c>
      <c r="P403" s="26" t="str">
        <f aca="false">IF(COUNTA(A403:N403)=0,"",IF(B403="","Falta el nombre",IF(C403="","Falta la cédula",IF(LEN(C403)&lt;&gt;10,"La cédula debe tener 10 dígitos",IF(F403="","Falta el tipo de plan",IF(G403="","Falta la fecha de inicio",IF(H403="","Falta la fecha de vencimiento",IF(O403&lt;=0,"El vencimiento debe ser posterior al inicio",IF(AND(F403&lt;&gt;"DIARIO",O403&lt;21),"Duración muy corta: revisar fechas",IF(O403&gt;400,"Duración mayor a 400 días: revisar fechas",IF(I403="","Falta la forma de pago",IF(L403="","Falta el monto cobrado","OK"))))))))))))</f>
        <v/>
      </c>
    </row>
    <row r="404" customFormat="false" ht="15" hidden="false" customHeight="false" outlineLevel="0" collapsed="false">
      <c r="A404" s="18"/>
      <c r="B404" s="19"/>
      <c r="C404" s="20"/>
      <c r="D404" s="20"/>
      <c r="E404" s="19"/>
      <c r="F404" s="18"/>
      <c r="G404" s="21"/>
      <c r="H404" s="21"/>
      <c r="I404" s="18"/>
      <c r="J404" s="22"/>
      <c r="K404" s="23"/>
      <c r="L404" s="23"/>
      <c r="M404" s="24"/>
      <c r="N404" s="19"/>
      <c r="O404" s="25" t="str">
        <f aca="false">IF(OR(G404="",H404=""),"",H404-G404)</f>
        <v/>
      </c>
      <c r="P404" s="26" t="str">
        <f aca="false">IF(COUNTA(A404:N404)=0,"",IF(B404="","Falta el nombre",IF(C404="","Falta la cédula",IF(LEN(C404)&lt;&gt;10,"La cédula debe tener 10 dígitos",IF(F404="","Falta el tipo de plan",IF(G404="","Falta la fecha de inicio",IF(H404="","Falta la fecha de vencimiento",IF(O404&lt;=0,"El vencimiento debe ser posterior al inicio",IF(AND(F404&lt;&gt;"DIARIO",O404&lt;21),"Duración muy corta: revisar fechas",IF(O404&gt;400,"Duración mayor a 400 días: revisar fechas",IF(I404="","Falta la forma de pago",IF(L404="","Falta el monto cobrado","OK"))))))))))))</f>
        <v/>
      </c>
    </row>
    <row r="405" customFormat="false" ht="15" hidden="false" customHeight="false" outlineLevel="0" collapsed="false">
      <c r="A405" s="18"/>
      <c r="B405" s="19"/>
      <c r="C405" s="20"/>
      <c r="D405" s="20"/>
      <c r="E405" s="19"/>
      <c r="F405" s="18"/>
      <c r="G405" s="21"/>
      <c r="H405" s="21"/>
      <c r="I405" s="18"/>
      <c r="J405" s="22"/>
      <c r="K405" s="23"/>
      <c r="L405" s="23"/>
      <c r="M405" s="24"/>
      <c r="N405" s="19"/>
      <c r="O405" s="25" t="str">
        <f aca="false">IF(OR(G405="",H405=""),"",H405-G405)</f>
        <v/>
      </c>
      <c r="P405" s="26" t="str">
        <f aca="false">IF(COUNTA(A405:N405)=0,"",IF(B405="","Falta el nombre",IF(C405="","Falta la cédula",IF(LEN(C405)&lt;&gt;10,"La cédula debe tener 10 dígitos",IF(F405="","Falta el tipo de plan",IF(G405="","Falta la fecha de inicio",IF(H405="","Falta la fecha de vencimiento",IF(O405&lt;=0,"El vencimiento debe ser posterior al inicio",IF(AND(F405&lt;&gt;"DIARIO",O405&lt;21),"Duración muy corta: revisar fechas",IF(O405&gt;400,"Duración mayor a 400 días: revisar fechas",IF(I405="","Falta la forma de pago",IF(L405="","Falta el monto cobrado","OK"))))))))))))</f>
        <v/>
      </c>
    </row>
    <row r="406" customFormat="false" ht="15" hidden="false" customHeight="false" outlineLevel="0" collapsed="false">
      <c r="A406" s="18"/>
      <c r="B406" s="19"/>
      <c r="C406" s="20"/>
      <c r="D406" s="20"/>
      <c r="E406" s="19"/>
      <c r="F406" s="18"/>
      <c r="G406" s="21"/>
      <c r="H406" s="21"/>
      <c r="I406" s="18"/>
      <c r="J406" s="22"/>
      <c r="K406" s="23"/>
      <c r="L406" s="23"/>
      <c r="M406" s="24"/>
      <c r="N406" s="19"/>
      <c r="O406" s="25" t="str">
        <f aca="false">IF(OR(G406="",H406=""),"",H406-G406)</f>
        <v/>
      </c>
      <c r="P406" s="26" t="str">
        <f aca="false">IF(COUNTA(A406:N406)=0,"",IF(B406="","Falta el nombre",IF(C406="","Falta la cédula",IF(LEN(C406)&lt;&gt;10,"La cédula debe tener 10 dígitos",IF(F406="","Falta el tipo de plan",IF(G406="","Falta la fecha de inicio",IF(H406="","Falta la fecha de vencimiento",IF(O406&lt;=0,"El vencimiento debe ser posterior al inicio",IF(AND(F406&lt;&gt;"DIARIO",O406&lt;21),"Duración muy corta: revisar fechas",IF(O406&gt;400,"Duración mayor a 400 días: revisar fechas",IF(I406="","Falta la forma de pago",IF(L406="","Falta el monto cobrado","OK"))))))))))))</f>
        <v/>
      </c>
    </row>
    <row r="407" customFormat="false" ht="15" hidden="false" customHeight="false" outlineLevel="0" collapsed="false">
      <c r="A407" s="18"/>
      <c r="B407" s="19"/>
      <c r="C407" s="20"/>
      <c r="D407" s="20"/>
      <c r="E407" s="19"/>
      <c r="F407" s="18"/>
      <c r="G407" s="21"/>
      <c r="H407" s="21"/>
      <c r="I407" s="18"/>
      <c r="J407" s="22"/>
      <c r="K407" s="23"/>
      <c r="L407" s="23"/>
      <c r="M407" s="24"/>
      <c r="N407" s="19"/>
      <c r="O407" s="25" t="str">
        <f aca="false">IF(OR(G407="",H407=""),"",H407-G407)</f>
        <v/>
      </c>
      <c r="P407" s="26" t="str">
        <f aca="false">IF(COUNTA(A407:N407)=0,"",IF(B407="","Falta el nombre",IF(C407="","Falta la cédula",IF(LEN(C407)&lt;&gt;10,"La cédula debe tener 10 dígitos",IF(F407="","Falta el tipo de plan",IF(G407="","Falta la fecha de inicio",IF(H407="","Falta la fecha de vencimiento",IF(O407&lt;=0,"El vencimiento debe ser posterior al inicio",IF(AND(F407&lt;&gt;"DIARIO",O407&lt;21),"Duración muy corta: revisar fechas",IF(O407&gt;400,"Duración mayor a 400 días: revisar fechas",IF(I407="","Falta la forma de pago",IF(L407="","Falta el monto cobrado","OK"))))))))))))</f>
        <v/>
      </c>
    </row>
    <row r="408" customFormat="false" ht="15" hidden="false" customHeight="false" outlineLevel="0" collapsed="false">
      <c r="A408" s="18"/>
      <c r="B408" s="19"/>
      <c r="C408" s="20"/>
      <c r="D408" s="20"/>
      <c r="E408" s="19"/>
      <c r="F408" s="18"/>
      <c r="G408" s="21"/>
      <c r="H408" s="21"/>
      <c r="I408" s="18"/>
      <c r="J408" s="22"/>
      <c r="K408" s="23"/>
      <c r="L408" s="23"/>
      <c r="M408" s="24"/>
      <c r="N408" s="19"/>
      <c r="O408" s="25" t="str">
        <f aca="false">IF(OR(G408="",H408=""),"",H408-G408)</f>
        <v/>
      </c>
      <c r="P408" s="26" t="str">
        <f aca="false">IF(COUNTA(A408:N408)=0,"",IF(B408="","Falta el nombre",IF(C408="","Falta la cédula",IF(LEN(C408)&lt;&gt;10,"La cédula debe tener 10 dígitos",IF(F408="","Falta el tipo de plan",IF(G408="","Falta la fecha de inicio",IF(H408="","Falta la fecha de vencimiento",IF(O408&lt;=0,"El vencimiento debe ser posterior al inicio",IF(AND(F408&lt;&gt;"DIARIO",O408&lt;21),"Duración muy corta: revisar fechas",IF(O408&gt;400,"Duración mayor a 400 días: revisar fechas",IF(I408="","Falta la forma de pago",IF(L408="","Falta el monto cobrado","OK"))))))))))))</f>
        <v/>
      </c>
    </row>
    <row r="409" customFormat="false" ht="15" hidden="false" customHeight="false" outlineLevel="0" collapsed="false">
      <c r="A409" s="18"/>
      <c r="B409" s="19"/>
      <c r="C409" s="20"/>
      <c r="D409" s="20"/>
      <c r="E409" s="19"/>
      <c r="F409" s="18"/>
      <c r="G409" s="21"/>
      <c r="H409" s="21"/>
      <c r="I409" s="18"/>
      <c r="J409" s="22"/>
      <c r="K409" s="23"/>
      <c r="L409" s="23"/>
      <c r="M409" s="24"/>
      <c r="N409" s="19"/>
      <c r="O409" s="25" t="str">
        <f aca="false">IF(OR(G409="",H409=""),"",H409-G409)</f>
        <v/>
      </c>
      <c r="P409" s="26" t="str">
        <f aca="false">IF(COUNTA(A409:N409)=0,"",IF(B409="","Falta el nombre",IF(C409="","Falta la cédula",IF(LEN(C409)&lt;&gt;10,"La cédula debe tener 10 dígitos",IF(F409="","Falta el tipo de plan",IF(G409="","Falta la fecha de inicio",IF(H409="","Falta la fecha de vencimiento",IF(O409&lt;=0,"El vencimiento debe ser posterior al inicio",IF(AND(F409&lt;&gt;"DIARIO",O409&lt;21),"Duración muy corta: revisar fechas",IF(O409&gt;400,"Duración mayor a 400 días: revisar fechas",IF(I409="","Falta la forma de pago",IF(L409="","Falta el monto cobrado","OK"))))))))))))</f>
        <v/>
      </c>
    </row>
    <row r="410" customFormat="false" ht="15" hidden="false" customHeight="false" outlineLevel="0" collapsed="false">
      <c r="A410" s="18"/>
      <c r="B410" s="19"/>
      <c r="C410" s="20"/>
      <c r="D410" s="20"/>
      <c r="E410" s="19"/>
      <c r="F410" s="18"/>
      <c r="G410" s="21"/>
      <c r="H410" s="21"/>
      <c r="I410" s="18"/>
      <c r="J410" s="22"/>
      <c r="K410" s="23"/>
      <c r="L410" s="23"/>
      <c r="M410" s="24"/>
      <c r="N410" s="19"/>
      <c r="O410" s="25" t="str">
        <f aca="false">IF(OR(G410="",H410=""),"",H410-G410)</f>
        <v/>
      </c>
      <c r="P410" s="26" t="str">
        <f aca="false">IF(COUNTA(A410:N410)=0,"",IF(B410="","Falta el nombre",IF(C410="","Falta la cédula",IF(LEN(C410)&lt;&gt;10,"La cédula debe tener 10 dígitos",IF(F410="","Falta el tipo de plan",IF(G410="","Falta la fecha de inicio",IF(H410="","Falta la fecha de vencimiento",IF(O410&lt;=0,"El vencimiento debe ser posterior al inicio",IF(AND(F410&lt;&gt;"DIARIO",O410&lt;21),"Duración muy corta: revisar fechas",IF(O410&gt;400,"Duración mayor a 400 días: revisar fechas",IF(I410="","Falta la forma de pago",IF(L410="","Falta el monto cobrado","OK"))))))))))))</f>
        <v/>
      </c>
    </row>
    <row r="411" customFormat="false" ht="15" hidden="false" customHeight="false" outlineLevel="0" collapsed="false">
      <c r="A411" s="18"/>
      <c r="B411" s="19"/>
      <c r="C411" s="20"/>
      <c r="D411" s="20"/>
      <c r="E411" s="19"/>
      <c r="F411" s="18"/>
      <c r="G411" s="21"/>
      <c r="H411" s="21"/>
      <c r="I411" s="18"/>
      <c r="J411" s="22"/>
      <c r="K411" s="23"/>
      <c r="L411" s="23"/>
      <c r="M411" s="24"/>
      <c r="N411" s="19"/>
      <c r="O411" s="25" t="str">
        <f aca="false">IF(OR(G411="",H411=""),"",H411-G411)</f>
        <v/>
      </c>
      <c r="P411" s="26" t="str">
        <f aca="false">IF(COUNTA(A411:N411)=0,"",IF(B411="","Falta el nombre",IF(C411="","Falta la cédula",IF(LEN(C411)&lt;&gt;10,"La cédula debe tener 10 dígitos",IF(F411="","Falta el tipo de plan",IF(G411="","Falta la fecha de inicio",IF(H411="","Falta la fecha de vencimiento",IF(O411&lt;=0,"El vencimiento debe ser posterior al inicio",IF(AND(F411&lt;&gt;"DIARIO",O411&lt;21),"Duración muy corta: revisar fechas",IF(O411&gt;400,"Duración mayor a 400 días: revisar fechas",IF(I411="","Falta la forma de pago",IF(L411="","Falta el monto cobrado","OK"))))))))))))</f>
        <v/>
      </c>
    </row>
    <row r="412" customFormat="false" ht="15" hidden="false" customHeight="false" outlineLevel="0" collapsed="false">
      <c r="A412" s="18"/>
      <c r="B412" s="19"/>
      <c r="C412" s="20"/>
      <c r="D412" s="20"/>
      <c r="E412" s="19"/>
      <c r="F412" s="18"/>
      <c r="G412" s="21"/>
      <c r="H412" s="21"/>
      <c r="I412" s="18"/>
      <c r="J412" s="22"/>
      <c r="K412" s="23"/>
      <c r="L412" s="23"/>
      <c r="M412" s="24"/>
      <c r="N412" s="19"/>
      <c r="O412" s="25" t="str">
        <f aca="false">IF(OR(G412="",H412=""),"",H412-G412)</f>
        <v/>
      </c>
      <c r="P412" s="26" t="str">
        <f aca="false">IF(COUNTA(A412:N412)=0,"",IF(B412="","Falta el nombre",IF(C412="","Falta la cédula",IF(LEN(C412)&lt;&gt;10,"La cédula debe tener 10 dígitos",IF(F412="","Falta el tipo de plan",IF(G412="","Falta la fecha de inicio",IF(H412="","Falta la fecha de vencimiento",IF(O412&lt;=0,"El vencimiento debe ser posterior al inicio",IF(AND(F412&lt;&gt;"DIARIO",O412&lt;21),"Duración muy corta: revisar fechas",IF(O412&gt;400,"Duración mayor a 400 días: revisar fechas",IF(I412="","Falta la forma de pago",IF(L412="","Falta el monto cobrado","OK"))))))))))))</f>
        <v/>
      </c>
    </row>
    <row r="413" customFormat="false" ht="15" hidden="false" customHeight="false" outlineLevel="0" collapsed="false">
      <c r="A413" s="18"/>
      <c r="B413" s="19"/>
      <c r="C413" s="20"/>
      <c r="D413" s="20"/>
      <c r="E413" s="19"/>
      <c r="F413" s="18"/>
      <c r="G413" s="21"/>
      <c r="H413" s="21"/>
      <c r="I413" s="18"/>
      <c r="J413" s="22"/>
      <c r="K413" s="23"/>
      <c r="L413" s="23"/>
      <c r="M413" s="24"/>
      <c r="N413" s="19"/>
      <c r="O413" s="25" t="str">
        <f aca="false">IF(OR(G413="",H413=""),"",H413-G413)</f>
        <v/>
      </c>
      <c r="P413" s="26" t="str">
        <f aca="false">IF(COUNTA(A413:N413)=0,"",IF(B413="","Falta el nombre",IF(C413="","Falta la cédula",IF(LEN(C413)&lt;&gt;10,"La cédula debe tener 10 dígitos",IF(F413="","Falta el tipo de plan",IF(G413="","Falta la fecha de inicio",IF(H413="","Falta la fecha de vencimiento",IF(O413&lt;=0,"El vencimiento debe ser posterior al inicio",IF(AND(F413&lt;&gt;"DIARIO",O413&lt;21),"Duración muy corta: revisar fechas",IF(O413&gt;400,"Duración mayor a 400 días: revisar fechas",IF(I413="","Falta la forma de pago",IF(L413="","Falta el monto cobrado","OK"))))))))))))</f>
        <v/>
      </c>
    </row>
    <row r="414" customFormat="false" ht="15" hidden="false" customHeight="false" outlineLevel="0" collapsed="false">
      <c r="A414" s="18"/>
      <c r="B414" s="19"/>
      <c r="C414" s="20"/>
      <c r="D414" s="20"/>
      <c r="E414" s="19"/>
      <c r="F414" s="18"/>
      <c r="G414" s="21"/>
      <c r="H414" s="21"/>
      <c r="I414" s="18"/>
      <c r="J414" s="22"/>
      <c r="K414" s="23"/>
      <c r="L414" s="23"/>
      <c r="M414" s="24"/>
      <c r="N414" s="19"/>
      <c r="O414" s="25" t="str">
        <f aca="false">IF(OR(G414="",H414=""),"",H414-G414)</f>
        <v/>
      </c>
      <c r="P414" s="26" t="str">
        <f aca="false">IF(COUNTA(A414:N414)=0,"",IF(B414="","Falta el nombre",IF(C414="","Falta la cédula",IF(LEN(C414)&lt;&gt;10,"La cédula debe tener 10 dígitos",IF(F414="","Falta el tipo de plan",IF(G414="","Falta la fecha de inicio",IF(H414="","Falta la fecha de vencimiento",IF(O414&lt;=0,"El vencimiento debe ser posterior al inicio",IF(AND(F414&lt;&gt;"DIARIO",O414&lt;21),"Duración muy corta: revisar fechas",IF(O414&gt;400,"Duración mayor a 400 días: revisar fechas",IF(I414="","Falta la forma de pago",IF(L414="","Falta el monto cobrado","OK"))))))))))))</f>
        <v/>
      </c>
    </row>
    <row r="415" customFormat="false" ht="15" hidden="false" customHeight="false" outlineLevel="0" collapsed="false">
      <c r="A415" s="18"/>
      <c r="B415" s="19"/>
      <c r="C415" s="20"/>
      <c r="D415" s="20"/>
      <c r="E415" s="19"/>
      <c r="F415" s="18"/>
      <c r="G415" s="21"/>
      <c r="H415" s="21"/>
      <c r="I415" s="18"/>
      <c r="J415" s="22"/>
      <c r="K415" s="23"/>
      <c r="L415" s="23"/>
      <c r="M415" s="24"/>
      <c r="N415" s="19"/>
      <c r="O415" s="25" t="str">
        <f aca="false">IF(OR(G415="",H415=""),"",H415-G415)</f>
        <v/>
      </c>
      <c r="P415" s="26" t="str">
        <f aca="false">IF(COUNTA(A415:N415)=0,"",IF(B415="","Falta el nombre",IF(C415="","Falta la cédula",IF(LEN(C415)&lt;&gt;10,"La cédula debe tener 10 dígitos",IF(F415="","Falta el tipo de plan",IF(G415="","Falta la fecha de inicio",IF(H415="","Falta la fecha de vencimiento",IF(O415&lt;=0,"El vencimiento debe ser posterior al inicio",IF(AND(F415&lt;&gt;"DIARIO",O415&lt;21),"Duración muy corta: revisar fechas",IF(O415&gt;400,"Duración mayor a 400 días: revisar fechas",IF(I415="","Falta la forma de pago",IF(L415="","Falta el monto cobrado","OK"))))))))))))</f>
        <v/>
      </c>
    </row>
    <row r="416" customFormat="false" ht="15" hidden="false" customHeight="false" outlineLevel="0" collapsed="false">
      <c r="A416" s="18"/>
      <c r="B416" s="19"/>
      <c r="C416" s="20"/>
      <c r="D416" s="20"/>
      <c r="E416" s="19"/>
      <c r="F416" s="18"/>
      <c r="G416" s="21"/>
      <c r="H416" s="21"/>
      <c r="I416" s="18"/>
      <c r="J416" s="22"/>
      <c r="K416" s="23"/>
      <c r="L416" s="23"/>
      <c r="M416" s="24"/>
      <c r="N416" s="19"/>
      <c r="O416" s="25" t="str">
        <f aca="false">IF(OR(G416="",H416=""),"",H416-G416)</f>
        <v/>
      </c>
      <c r="P416" s="26" t="str">
        <f aca="false">IF(COUNTA(A416:N416)=0,"",IF(B416="","Falta el nombre",IF(C416="","Falta la cédula",IF(LEN(C416)&lt;&gt;10,"La cédula debe tener 10 dígitos",IF(F416="","Falta el tipo de plan",IF(G416="","Falta la fecha de inicio",IF(H416="","Falta la fecha de vencimiento",IF(O416&lt;=0,"El vencimiento debe ser posterior al inicio",IF(AND(F416&lt;&gt;"DIARIO",O416&lt;21),"Duración muy corta: revisar fechas",IF(O416&gt;400,"Duración mayor a 400 días: revisar fechas",IF(I416="","Falta la forma de pago",IF(L416="","Falta el monto cobrado","OK"))))))))))))</f>
        <v/>
      </c>
    </row>
    <row r="417" customFormat="false" ht="15" hidden="false" customHeight="false" outlineLevel="0" collapsed="false">
      <c r="A417" s="18"/>
      <c r="B417" s="19"/>
      <c r="C417" s="20"/>
      <c r="D417" s="20"/>
      <c r="E417" s="19"/>
      <c r="F417" s="18"/>
      <c r="G417" s="21"/>
      <c r="H417" s="21"/>
      <c r="I417" s="18"/>
      <c r="J417" s="22"/>
      <c r="K417" s="23"/>
      <c r="L417" s="23"/>
      <c r="M417" s="24"/>
      <c r="N417" s="19"/>
      <c r="O417" s="25" t="str">
        <f aca="false">IF(OR(G417="",H417=""),"",H417-G417)</f>
        <v/>
      </c>
      <c r="P417" s="26" t="str">
        <f aca="false">IF(COUNTA(A417:N417)=0,"",IF(B417="","Falta el nombre",IF(C417="","Falta la cédula",IF(LEN(C417)&lt;&gt;10,"La cédula debe tener 10 dígitos",IF(F417="","Falta el tipo de plan",IF(G417="","Falta la fecha de inicio",IF(H417="","Falta la fecha de vencimiento",IF(O417&lt;=0,"El vencimiento debe ser posterior al inicio",IF(AND(F417&lt;&gt;"DIARIO",O417&lt;21),"Duración muy corta: revisar fechas",IF(O417&gt;400,"Duración mayor a 400 días: revisar fechas",IF(I417="","Falta la forma de pago",IF(L417="","Falta el monto cobrado","OK"))))))))))))</f>
        <v/>
      </c>
    </row>
    <row r="418" customFormat="false" ht="15" hidden="false" customHeight="false" outlineLevel="0" collapsed="false">
      <c r="A418" s="18"/>
      <c r="B418" s="19"/>
      <c r="C418" s="20"/>
      <c r="D418" s="20"/>
      <c r="E418" s="19"/>
      <c r="F418" s="18"/>
      <c r="G418" s="21"/>
      <c r="H418" s="21"/>
      <c r="I418" s="18"/>
      <c r="J418" s="22"/>
      <c r="K418" s="23"/>
      <c r="L418" s="23"/>
      <c r="M418" s="24"/>
      <c r="N418" s="19"/>
      <c r="O418" s="25" t="str">
        <f aca="false">IF(OR(G418="",H418=""),"",H418-G418)</f>
        <v/>
      </c>
      <c r="P418" s="26" t="str">
        <f aca="false">IF(COUNTA(A418:N418)=0,"",IF(B418="","Falta el nombre",IF(C418="","Falta la cédula",IF(LEN(C418)&lt;&gt;10,"La cédula debe tener 10 dígitos",IF(F418="","Falta el tipo de plan",IF(G418="","Falta la fecha de inicio",IF(H418="","Falta la fecha de vencimiento",IF(O418&lt;=0,"El vencimiento debe ser posterior al inicio",IF(AND(F418&lt;&gt;"DIARIO",O418&lt;21),"Duración muy corta: revisar fechas",IF(O418&gt;400,"Duración mayor a 400 días: revisar fechas",IF(I418="","Falta la forma de pago",IF(L418="","Falta el monto cobrado","OK"))))))))))))</f>
        <v/>
      </c>
    </row>
    <row r="419" customFormat="false" ht="15" hidden="false" customHeight="false" outlineLevel="0" collapsed="false">
      <c r="A419" s="18"/>
      <c r="B419" s="19"/>
      <c r="C419" s="20"/>
      <c r="D419" s="20"/>
      <c r="E419" s="19"/>
      <c r="F419" s="18"/>
      <c r="G419" s="21"/>
      <c r="H419" s="21"/>
      <c r="I419" s="18"/>
      <c r="J419" s="22"/>
      <c r="K419" s="23"/>
      <c r="L419" s="23"/>
      <c r="M419" s="24"/>
      <c r="N419" s="19"/>
      <c r="O419" s="25" t="str">
        <f aca="false">IF(OR(G419="",H419=""),"",H419-G419)</f>
        <v/>
      </c>
      <c r="P419" s="26" t="str">
        <f aca="false">IF(COUNTA(A419:N419)=0,"",IF(B419="","Falta el nombre",IF(C419="","Falta la cédula",IF(LEN(C419)&lt;&gt;10,"La cédula debe tener 10 dígitos",IF(F419="","Falta el tipo de plan",IF(G419="","Falta la fecha de inicio",IF(H419="","Falta la fecha de vencimiento",IF(O419&lt;=0,"El vencimiento debe ser posterior al inicio",IF(AND(F419&lt;&gt;"DIARIO",O419&lt;21),"Duración muy corta: revisar fechas",IF(O419&gt;400,"Duración mayor a 400 días: revisar fechas",IF(I419="","Falta la forma de pago",IF(L419="","Falta el monto cobrado","OK"))))))))))))</f>
        <v/>
      </c>
    </row>
    <row r="420" customFormat="false" ht="15" hidden="false" customHeight="false" outlineLevel="0" collapsed="false">
      <c r="A420" s="18"/>
      <c r="B420" s="19"/>
      <c r="C420" s="20"/>
      <c r="D420" s="20"/>
      <c r="E420" s="19"/>
      <c r="F420" s="18"/>
      <c r="G420" s="21"/>
      <c r="H420" s="21"/>
      <c r="I420" s="18"/>
      <c r="J420" s="22"/>
      <c r="K420" s="23"/>
      <c r="L420" s="23"/>
      <c r="M420" s="24"/>
      <c r="N420" s="19"/>
      <c r="O420" s="25" t="str">
        <f aca="false">IF(OR(G420="",H420=""),"",H420-G420)</f>
        <v/>
      </c>
      <c r="P420" s="26" t="str">
        <f aca="false">IF(COUNTA(A420:N420)=0,"",IF(B420="","Falta el nombre",IF(C420="","Falta la cédula",IF(LEN(C420)&lt;&gt;10,"La cédula debe tener 10 dígitos",IF(F420="","Falta el tipo de plan",IF(G420="","Falta la fecha de inicio",IF(H420="","Falta la fecha de vencimiento",IF(O420&lt;=0,"El vencimiento debe ser posterior al inicio",IF(AND(F420&lt;&gt;"DIARIO",O420&lt;21),"Duración muy corta: revisar fechas",IF(O420&gt;400,"Duración mayor a 400 días: revisar fechas",IF(I420="","Falta la forma de pago",IF(L420="","Falta el monto cobrado","OK"))))))))))))</f>
        <v/>
      </c>
    </row>
    <row r="421" customFormat="false" ht="15" hidden="false" customHeight="false" outlineLevel="0" collapsed="false">
      <c r="A421" s="18"/>
      <c r="B421" s="19"/>
      <c r="C421" s="20"/>
      <c r="D421" s="20"/>
      <c r="E421" s="19"/>
      <c r="F421" s="18"/>
      <c r="G421" s="21"/>
      <c r="H421" s="21"/>
      <c r="I421" s="18"/>
      <c r="J421" s="22"/>
      <c r="K421" s="23"/>
      <c r="L421" s="23"/>
      <c r="M421" s="24"/>
      <c r="N421" s="19"/>
      <c r="O421" s="25" t="str">
        <f aca="false">IF(OR(G421="",H421=""),"",H421-G421)</f>
        <v/>
      </c>
      <c r="P421" s="26" t="str">
        <f aca="false">IF(COUNTA(A421:N421)=0,"",IF(B421="","Falta el nombre",IF(C421="","Falta la cédula",IF(LEN(C421)&lt;&gt;10,"La cédula debe tener 10 dígitos",IF(F421="","Falta el tipo de plan",IF(G421="","Falta la fecha de inicio",IF(H421="","Falta la fecha de vencimiento",IF(O421&lt;=0,"El vencimiento debe ser posterior al inicio",IF(AND(F421&lt;&gt;"DIARIO",O421&lt;21),"Duración muy corta: revisar fechas",IF(O421&gt;400,"Duración mayor a 400 días: revisar fechas",IF(I421="","Falta la forma de pago",IF(L421="","Falta el monto cobrado","OK"))))))))))))</f>
        <v/>
      </c>
    </row>
    <row r="422" customFormat="false" ht="15" hidden="false" customHeight="false" outlineLevel="0" collapsed="false">
      <c r="A422" s="18"/>
      <c r="B422" s="19"/>
      <c r="C422" s="20"/>
      <c r="D422" s="20"/>
      <c r="E422" s="19"/>
      <c r="F422" s="18"/>
      <c r="G422" s="21"/>
      <c r="H422" s="21"/>
      <c r="I422" s="18"/>
      <c r="J422" s="22"/>
      <c r="K422" s="23"/>
      <c r="L422" s="23"/>
      <c r="M422" s="24"/>
      <c r="N422" s="19"/>
      <c r="O422" s="25" t="str">
        <f aca="false">IF(OR(G422="",H422=""),"",H422-G422)</f>
        <v/>
      </c>
      <c r="P422" s="26" t="str">
        <f aca="false">IF(COUNTA(A422:N422)=0,"",IF(B422="","Falta el nombre",IF(C422="","Falta la cédula",IF(LEN(C422)&lt;&gt;10,"La cédula debe tener 10 dígitos",IF(F422="","Falta el tipo de plan",IF(G422="","Falta la fecha de inicio",IF(H422="","Falta la fecha de vencimiento",IF(O422&lt;=0,"El vencimiento debe ser posterior al inicio",IF(AND(F422&lt;&gt;"DIARIO",O422&lt;21),"Duración muy corta: revisar fechas",IF(O422&gt;400,"Duración mayor a 400 días: revisar fechas",IF(I422="","Falta la forma de pago",IF(L422="","Falta el monto cobrado","OK"))))))))))))</f>
        <v/>
      </c>
    </row>
    <row r="423" customFormat="false" ht="15" hidden="false" customHeight="false" outlineLevel="0" collapsed="false">
      <c r="A423" s="18"/>
      <c r="B423" s="19"/>
      <c r="C423" s="20"/>
      <c r="D423" s="20"/>
      <c r="E423" s="19"/>
      <c r="F423" s="18"/>
      <c r="G423" s="21"/>
      <c r="H423" s="21"/>
      <c r="I423" s="18"/>
      <c r="J423" s="22"/>
      <c r="K423" s="23"/>
      <c r="L423" s="23"/>
      <c r="M423" s="24"/>
      <c r="N423" s="19"/>
      <c r="O423" s="25" t="str">
        <f aca="false">IF(OR(G423="",H423=""),"",H423-G423)</f>
        <v/>
      </c>
      <c r="P423" s="26" t="str">
        <f aca="false">IF(COUNTA(A423:N423)=0,"",IF(B423="","Falta el nombre",IF(C423="","Falta la cédula",IF(LEN(C423)&lt;&gt;10,"La cédula debe tener 10 dígitos",IF(F423="","Falta el tipo de plan",IF(G423="","Falta la fecha de inicio",IF(H423="","Falta la fecha de vencimiento",IF(O423&lt;=0,"El vencimiento debe ser posterior al inicio",IF(AND(F423&lt;&gt;"DIARIO",O423&lt;21),"Duración muy corta: revisar fechas",IF(O423&gt;400,"Duración mayor a 400 días: revisar fechas",IF(I423="","Falta la forma de pago",IF(L423="","Falta el monto cobrado","OK"))))))))))))</f>
        <v/>
      </c>
    </row>
    <row r="424" customFormat="false" ht="15" hidden="false" customHeight="false" outlineLevel="0" collapsed="false">
      <c r="A424" s="18"/>
      <c r="B424" s="19"/>
      <c r="C424" s="20"/>
      <c r="D424" s="20"/>
      <c r="E424" s="19"/>
      <c r="F424" s="18"/>
      <c r="G424" s="21"/>
      <c r="H424" s="21"/>
      <c r="I424" s="18"/>
      <c r="J424" s="22"/>
      <c r="K424" s="23"/>
      <c r="L424" s="23"/>
      <c r="M424" s="24"/>
      <c r="N424" s="19"/>
      <c r="O424" s="25" t="str">
        <f aca="false">IF(OR(G424="",H424=""),"",H424-G424)</f>
        <v/>
      </c>
      <c r="P424" s="26" t="str">
        <f aca="false">IF(COUNTA(A424:N424)=0,"",IF(B424="","Falta el nombre",IF(C424="","Falta la cédula",IF(LEN(C424)&lt;&gt;10,"La cédula debe tener 10 dígitos",IF(F424="","Falta el tipo de plan",IF(G424="","Falta la fecha de inicio",IF(H424="","Falta la fecha de vencimiento",IF(O424&lt;=0,"El vencimiento debe ser posterior al inicio",IF(AND(F424&lt;&gt;"DIARIO",O424&lt;21),"Duración muy corta: revisar fechas",IF(O424&gt;400,"Duración mayor a 400 días: revisar fechas",IF(I424="","Falta la forma de pago",IF(L424="","Falta el monto cobrado","OK"))))))))))))</f>
        <v/>
      </c>
    </row>
    <row r="425" customFormat="false" ht="15" hidden="false" customHeight="false" outlineLevel="0" collapsed="false">
      <c r="A425" s="18"/>
      <c r="B425" s="19"/>
      <c r="C425" s="20"/>
      <c r="D425" s="20"/>
      <c r="E425" s="19"/>
      <c r="F425" s="18"/>
      <c r="G425" s="21"/>
      <c r="H425" s="21"/>
      <c r="I425" s="18"/>
      <c r="J425" s="22"/>
      <c r="K425" s="23"/>
      <c r="L425" s="23"/>
      <c r="M425" s="24"/>
      <c r="N425" s="19"/>
      <c r="O425" s="25" t="str">
        <f aca="false">IF(OR(G425="",H425=""),"",H425-G425)</f>
        <v/>
      </c>
      <c r="P425" s="26" t="str">
        <f aca="false">IF(COUNTA(A425:N425)=0,"",IF(B425="","Falta el nombre",IF(C425="","Falta la cédula",IF(LEN(C425)&lt;&gt;10,"La cédula debe tener 10 dígitos",IF(F425="","Falta el tipo de plan",IF(G425="","Falta la fecha de inicio",IF(H425="","Falta la fecha de vencimiento",IF(O425&lt;=0,"El vencimiento debe ser posterior al inicio",IF(AND(F425&lt;&gt;"DIARIO",O425&lt;21),"Duración muy corta: revisar fechas",IF(O425&gt;400,"Duración mayor a 400 días: revisar fechas",IF(I425="","Falta la forma de pago",IF(L425="","Falta el monto cobrado","OK"))))))))))))</f>
        <v/>
      </c>
    </row>
    <row r="426" customFormat="false" ht="15" hidden="false" customHeight="false" outlineLevel="0" collapsed="false">
      <c r="A426" s="18"/>
      <c r="B426" s="19"/>
      <c r="C426" s="20"/>
      <c r="D426" s="20"/>
      <c r="E426" s="19"/>
      <c r="F426" s="18"/>
      <c r="G426" s="21"/>
      <c r="H426" s="21"/>
      <c r="I426" s="18"/>
      <c r="J426" s="22"/>
      <c r="K426" s="23"/>
      <c r="L426" s="23"/>
      <c r="M426" s="24"/>
      <c r="N426" s="19"/>
      <c r="O426" s="25" t="str">
        <f aca="false">IF(OR(G426="",H426=""),"",H426-G426)</f>
        <v/>
      </c>
      <c r="P426" s="26" t="str">
        <f aca="false">IF(COUNTA(A426:N426)=0,"",IF(B426="","Falta el nombre",IF(C426="","Falta la cédula",IF(LEN(C426)&lt;&gt;10,"La cédula debe tener 10 dígitos",IF(F426="","Falta el tipo de plan",IF(G426="","Falta la fecha de inicio",IF(H426="","Falta la fecha de vencimiento",IF(O426&lt;=0,"El vencimiento debe ser posterior al inicio",IF(AND(F426&lt;&gt;"DIARIO",O426&lt;21),"Duración muy corta: revisar fechas",IF(O426&gt;400,"Duración mayor a 400 días: revisar fechas",IF(I426="","Falta la forma de pago",IF(L426="","Falta el monto cobrado","OK"))))))))))))</f>
        <v/>
      </c>
    </row>
    <row r="427" customFormat="false" ht="15" hidden="false" customHeight="false" outlineLevel="0" collapsed="false">
      <c r="A427" s="18"/>
      <c r="B427" s="19"/>
      <c r="C427" s="20"/>
      <c r="D427" s="20"/>
      <c r="E427" s="19"/>
      <c r="F427" s="18"/>
      <c r="G427" s="21"/>
      <c r="H427" s="21"/>
      <c r="I427" s="18"/>
      <c r="J427" s="22"/>
      <c r="K427" s="23"/>
      <c r="L427" s="23"/>
      <c r="M427" s="24"/>
      <c r="N427" s="19"/>
      <c r="O427" s="25" t="str">
        <f aca="false">IF(OR(G427="",H427=""),"",H427-G427)</f>
        <v/>
      </c>
      <c r="P427" s="26" t="str">
        <f aca="false">IF(COUNTA(A427:N427)=0,"",IF(B427="","Falta el nombre",IF(C427="","Falta la cédula",IF(LEN(C427)&lt;&gt;10,"La cédula debe tener 10 dígitos",IF(F427="","Falta el tipo de plan",IF(G427="","Falta la fecha de inicio",IF(H427="","Falta la fecha de vencimiento",IF(O427&lt;=0,"El vencimiento debe ser posterior al inicio",IF(AND(F427&lt;&gt;"DIARIO",O427&lt;21),"Duración muy corta: revisar fechas",IF(O427&gt;400,"Duración mayor a 400 días: revisar fechas",IF(I427="","Falta la forma de pago",IF(L427="","Falta el monto cobrado","OK"))))))))))))</f>
        <v/>
      </c>
    </row>
    <row r="428" customFormat="false" ht="15" hidden="false" customHeight="false" outlineLevel="0" collapsed="false">
      <c r="A428" s="18"/>
      <c r="B428" s="19"/>
      <c r="C428" s="20"/>
      <c r="D428" s="20"/>
      <c r="E428" s="19"/>
      <c r="F428" s="18"/>
      <c r="G428" s="21"/>
      <c r="H428" s="21"/>
      <c r="I428" s="18"/>
      <c r="J428" s="22"/>
      <c r="K428" s="23"/>
      <c r="L428" s="23"/>
      <c r="M428" s="24"/>
      <c r="N428" s="19"/>
      <c r="O428" s="25" t="str">
        <f aca="false">IF(OR(G428="",H428=""),"",H428-G428)</f>
        <v/>
      </c>
      <c r="P428" s="26" t="str">
        <f aca="false">IF(COUNTA(A428:N428)=0,"",IF(B428="","Falta el nombre",IF(C428="","Falta la cédula",IF(LEN(C428)&lt;&gt;10,"La cédula debe tener 10 dígitos",IF(F428="","Falta el tipo de plan",IF(G428="","Falta la fecha de inicio",IF(H428="","Falta la fecha de vencimiento",IF(O428&lt;=0,"El vencimiento debe ser posterior al inicio",IF(AND(F428&lt;&gt;"DIARIO",O428&lt;21),"Duración muy corta: revisar fechas",IF(O428&gt;400,"Duración mayor a 400 días: revisar fechas",IF(I428="","Falta la forma de pago",IF(L428="","Falta el monto cobrado","OK"))))))))))))</f>
        <v/>
      </c>
    </row>
    <row r="429" customFormat="false" ht="15" hidden="false" customHeight="false" outlineLevel="0" collapsed="false">
      <c r="A429" s="18"/>
      <c r="B429" s="19"/>
      <c r="C429" s="20"/>
      <c r="D429" s="20"/>
      <c r="E429" s="19"/>
      <c r="F429" s="18"/>
      <c r="G429" s="21"/>
      <c r="H429" s="21"/>
      <c r="I429" s="18"/>
      <c r="J429" s="22"/>
      <c r="K429" s="23"/>
      <c r="L429" s="23"/>
      <c r="M429" s="24"/>
      <c r="N429" s="19"/>
      <c r="O429" s="25" t="str">
        <f aca="false">IF(OR(G429="",H429=""),"",H429-G429)</f>
        <v/>
      </c>
      <c r="P429" s="26" t="str">
        <f aca="false">IF(COUNTA(A429:N429)=0,"",IF(B429="","Falta el nombre",IF(C429="","Falta la cédula",IF(LEN(C429)&lt;&gt;10,"La cédula debe tener 10 dígitos",IF(F429="","Falta el tipo de plan",IF(G429="","Falta la fecha de inicio",IF(H429="","Falta la fecha de vencimiento",IF(O429&lt;=0,"El vencimiento debe ser posterior al inicio",IF(AND(F429&lt;&gt;"DIARIO",O429&lt;21),"Duración muy corta: revisar fechas",IF(O429&gt;400,"Duración mayor a 400 días: revisar fechas",IF(I429="","Falta la forma de pago",IF(L429="","Falta el monto cobrado","OK"))))))))))))</f>
        <v/>
      </c>
    </row>
    <row r="430" customFormat="false" ht="15" hidden="false" customHeight="false" outlineLevel="0" collapsed="false">
      <c r="A430" s="18"/>
      <c r="B430" s="19"/>
      <c r="C430" s="20"/>
      <c r="D430" s="20"/>
      <c r="E430" s="19"/>
      <c r="F430" s="18"/>
      <c r="G430" s="21"/>
      <c r="H430" s="21"/>
      <c r="I430" s="18"/>
      <c r="J430" s="22"/>
      <c r="K430" s="23"/>
      <c r="L430" s="23"/>
      <c r="M430" s="24"/>
      <c r="N430" s="19"/>
      <c r="O430" s="25" t="str">
        <f aca="false">IF(OR(G430="",H430=""),"",H430-G430)</f>
        <v/>
      </c>
      <c r="P430" s="26" t="str">
        <f aca="false">IF(COUNTA(A430:N430)=0,"",IF(B430="","Falta el nombre",IF(C430="","Falta la cédula",IF(LEN(C430)&lt;&gt;10,"La cédula debe tener 10 dígitos",IF(F430="","Falta el tipo de plan",IF(G430="","Falta la fecha de inicio",IF(H430="","Falta la fecha de vencimiento",IF(O430&lt;=0,"El vencimiento debe ser posterior al inicio",IF(AND(F430&lt;&gt;"DIARIO",O430&lt;21),"Duración muy corta: revisar fechas",IF(O430&gt;400,"Duración mayor a 400 días: revisar fechas",IF(I430="","Falta la forma de pago",IF(L430="","Falta el monto cobrado","OK"))))))))))))</f>
        <v/>
      </c>
    </row>
    <row r="431" customFormat="false" ht="15" hidden="false" customHeight="false" outlineLevel="0" collapsed="false">
      <c r="A431" s="18"/>
      <c r="B431" s="19"/>
      <c r="C431" s="20"/>
      <c r="D431" s="20"/>
      <c r="E431" s="19"/>
      <c r="F431" s="18"/>
      <c r="G431" s="21"/>
      <c r="H431" s="21"/>
      <c r="I431" s="18"/>
      <c r="J431" s="22"/>
      <c r="K431" s="23"/>
      <c r="L431" s="23"/>
      <c r="M431" s="24"/>
      <c r="N431" s="19"/>
      <c r="O431" s="25" t="str">
        <f aca="false">IF(OR(G431="",H431=""),"",H431-G431)</f>
        <v/>
      </c>
      <c r="P431" s="26" t="str">
        <f aca="false">IF(COUNTA(A431:N431)=0,"",IF(B431="","Falta el nombre",IF(C431="","Falta la cédula",IF(LEN(C431)&lt;&gt;10,"La cédula debe tener 10 dígitos",IF(F431="","Falta el tipo de plan",IF(G431="","Falta la fecha de inicio",IF(H431="","Falta la fecha de vencimiento",IF(O431&lt;=0,"El vencimiento debe ser posterior al inicio",IF(AND(F431&lt;&gt;"DIARIO",O431&lt;21),"Duración muy corta: revisar fechas",IF(O431&gt;400,"Duración mayor a 400 días: revisar fechas",IF(I431="","Falta la forma de pago",IF(L431="","Falta el monto cobrado","OK"))))))))))))</f>
        <v/>
      </c>
    </row>
    <row r="432" customFormat="false" ht="15" hidden="false" customHeight="false" outlineLevel="0" collapsed="false">
      <c r="A432" s="18"/>
      <c r="B432" s="19"/>
      <c r="C432" s="20"/>
      <c r="D432" s="20"/>
      <c r="E432" s="19"/>
      <c r="F432" s="18"/>
      <c r="G432" s="21"/>
      <c r="H432" s="21"/>
      <c r="I432" s="18"/>
      <c r="J432" s="22"/>
      <c r="K432" s="23"/>
      <c r="L432" s="23"/>
      <c r="M432" s="24"/>
      <c r="N432" s="19"/>
      <c r="O432" s="25" t="str">
        <f aca="false">IF(OR(G432="",H432=""),"",H432-G432)</f>
        <v/>
      </c>
      <c r="P432" s="26" t="str">
        <f aca="false">IF(COUNTA(A432:N432)=0,"",IF(B432="","Falta el nombre",IF(C432="","Falta la cédula",IF(LEN(C432)&lt;&gt;10,"La cédula debe tener 10 dígitos",IF(F432="","Falta el tipo de plan",IF(G432="","Falta la fecha de inicio",IF(H432="","Falta la fecha de vencimiento",IF(O432&lt;=0,"El vencimiento debe ser posterior al inicio",IF(AND(F432&lt;&gt;"DIARIO",O432&lt;21),"Duración muy corta: revisar fechas",IF(O432&gt;400,"Duración mayor a 400 días: revisar fechas",IF(I432="","Falta la forma de pago",IF(L432="","Falta el monto cobrado","OK"))))))))))))</f>
        <v/>
      </c>
    </row>
    <row r="433" customFormat="false" ht="15" hidden="false" customHeight="false" outlineLevel="0" collapsed="false">
      <c r="A433" s="18"/>
      <c r="B433" s="19"/>
      <c r="C433" s="20"/>
      <c r="D433" s="20"/>
      <c r="E433" s="19"/>
      <c r="F433" s="18"/>
      <c r="G433" s="21"/>
      <c r="H433" s="21"/>
      <c r="I433" s="18"/>
      <c r="J433" s="22"/>
      <c r="K433" s="23"/>
      <c r="L433" s="23"/>
      <c r="M433" s="24"/>
      <c r="N433" s="19"/>
      <c r="O433" s="25" t="str">
        <f aca="false">IF(OR(G433="",H433=""),"",H433-G433)</f>
        <v/>
      </c>
      <c r="P433" s="26" t="str">
        <f aca="false">IF(COUNTA(A433:N433)=0,"",IF(B433="","Falta el nombre",IF(C433="","Falta la cédula",IF(LEN(C433)&lt;&gt;10,"La cédula debe tener 10 dígitos",IF(F433="","Falta el tipo de plan",IF(G433="","Falta la fecha de inicio",IF(H433="","Falta la fecha de vencimiento",IF(O433&lt;=0,"El vencimiento debe ser posterior al inicio",IF(AND(F433&lt;&gt;"DIARIO",O433&lt;21),"Duración muy corta: revisar fechas",IF(O433&gt;400,"Duración mayor a 400 días: revisar fechas",IF(I433="","Falta la forma de pago",IF(L433="","Falta el monto cobrado","OK"))))))))))))</f>
        <v/>
      </c>
    </row>
    <row r="434" customFormat="false" ht="15" hidden="false" customHeight="false" outlineLevel="0" collapsed="false">
      <c r="A434" s="18"/>
      <c r="B434" s="19"/>
      <c r="C434" s="20"/>
      <c r="D434" s="20"/>
      <c r="E434" s="19"/>
      <c r="F434" s="18"/>
      <c r="G434" s="21"/>
      <c r="H434" s="21"/>
      <c r="I434" s="18"/>
      <c r="J434" s="22"/>
      <c r="K434" s="23"/>
      <c r="L434" s="23"/>
      <c r="M434" s="24"/>
      <c r="N434" s="19"/>
      <c r="O434" s="25" t="str">
        <f aca="false">IF(OR(G434="",H434=""),"",H434-G434)</f>
        <v/>
      </c>
      <c r="P434" s="26" t="str">
        <f aca="false">IF(COUNTA(A434:N434)=0,"",IF(B434="","Falta el nombre",IF(C434="","Falta la cédula",IF(LEN(C434)&lt;&gt;10,"La cédula debe tener 10 dígitos",IF(F434="","Falta el tipo de plan",IF(G434="","Falta la fecha de inicio",IF(H434="","Falta la fecha de vencimiento",IF(O434&lt;=0,"El vencimiento debe ser posterior al inicio",IF(AND(F434&lt;&gt;"DIARIO",O434&lt;21),"Duración muy corta: revisar fechas",IF(O434&gt;400,"Duración mayor a 400 días: revisar fechas",IF(I434="","Falta la forma de pago",IF(L434="","Falta el monto cobrado","OK"))))))))))))</f>
        <v/>
      </c>
    </row>
    <row r="435" customFormat="false" ht="15" hidden="false" customHeight="false" outlineLevel="0" collapsed="false">
      <c r="A435" s="18"/>
      <c r="B435" s="19"/>
      <c r="C435" s="20"/>
      <c r="D435" s="20"/>
      <c r="E435" s="19"/>
      <c r="F435" s="18"/>
      <c r="G435" s="21"/>
      <c r="H435" s="21"/>
      <c r="I435" s="18"/>
      <c r="J435" s="22"/>
      <c r="K435" s="23"/>
      <c r="L435" s="23"/>
      <c r="M435" s="24"/>
      <c r="N435" s="19"/>
      <c r="O435" s="25" t="str">
        <f aca="false">IF(OR(G435="",H435=""),"",H435-G435)</f>
        <v/>
      </c>
      <c r="P435" s="26" t="str">
        <f aca="false">IF(COUNTA(A435:N435)=0,"",IF(B435="","Falta el nombre",IF(C435="","Falta la cédula",IF(LEN(C435)&lt;&gt;10,"La cédula debe tener 10 dígitos",IF(F435="","Falta el tipo de plan",IF(G435="","Falta la fecha de inicio",IF(H435="","Falta la fecha de vencimiento",IF(O435&lt;=0,"El vencimiento debe ser posterior al inicio",IF(AND(F435&lt;&gt;"DIARIO",O435&lt;21),"Duración muy corta: revisar fechas",IF(O435&gt;400,"Duración mayor a 400 días: revisar fechas",IF(I435="","Falta la forma de pago",IF(L435="","Falta el monto cobrado","OK"))))))))))))</f>
        <v/>
      </c>
    </row>
    <row r="436" customFormat="false" ht="15" hidden="false" customHeight="false" outlineLevel="0" collapsed="false">
      <c r="A436" s="18"/>
      <c r="B436" s="19"/>
      <c r="C436" s="20"/>
      <c r="D436" s="20"/>
      <c r="E436" s="19"/>
      <c r="F436" s="18"/>
      <c r="G436" s="21"/>
      <c r="H436" s="21"/>
      <c r="I436" s="18"/>
      <c r="J436" s="22"/>
      <c r="K436" s="23"/>
      <c r="L436" s="23"/>
      <c r="M436" s="24"/>
      <c r="N436" s="19"/>
      <c r="O436" s="25" t="str">
        <f aca="false">IF(OR(G436="",H436=""),"",H436-G436)</f>
        <v/>
      </c>
      <c r="P436" s="26" t="str">
        <f aca="false">IF(COUNTA(A436:N436)=0,"",IF(B436="","Falta el nombre",IF(C436="","Falta la cédula",IF(LEN(C436)&lt;&gt;10,"La cédula debe tener 10 dígitos",IF(F436="","Falta el tipo de plan",IF(G436="","Falta la fecha de inicio",IF(H436="","Falta la fecha de vencimiento",IF(O436&lt;=0,"El vencimiento debe ser posterior al inicio",IF(AND(F436&lt;&gt;"DIARIO",O436&lt;21),"Duración muy corta: revisar fechas",IF(O436&gt;400,"Duración mayor a 400 días: revisar fechas",IF(I436="","Falta la forma de pago",IF(L436="","Falta el monto cobrado","OK"))))))))))))</f>
        <v/>
      </c>
    </row>
    <row r="437" customFormat="false" ht="15" hidden="false" customHeight="false" outlineLevel="0" collapsed="false">
      <c r="A437" s="18"/>
      <c r="B437" s="19"/>
      <c r="C437" s="20"/>
      <c r="D437" s="20"/>
      <c r="E437" s="19"/>
      <c r="F437" s="18"/>
      <c r="G437" s="21"/>
      <c r="H437" s="21"/>
      <c r="I437" s="18"/>
      <c r="J437" s="22"/>
      <c r="K437" s="23"/>
      <c r="L437" s="23"/>
      <c r="M437" s="24"/>
      <c r="N437" s="19"/>
      <c r="O437" s="25" t="str">
        <f aca="false">IF(OR(G437="",H437=""),"",H437-G437)</f>
        <v/>
      </c>
      <c r="P437" s="26" t="str">
        <f aca="false">IF(COUNTA(A437:N437)=0,"",IF(B437="","Falta el nombre",IF(C437="","Falta la cédula",IF(LEN(C437)&lt;&gt;10,"La cédula debe tener 10 dígitos",IF(F437="","Falta el tipo de plan",IF(G437="","Falta la fecha de inicio",IF(H437="","Falta la fecha de vencimiento",IF(O437&lt;=0,"El vencimiento debe ser posterior al inicio",IF(AND(F437&lt;&gt;"DIARIO",O437&lt;21),"Duración muy corta: revisar fechas",IF(O437&gt;400,"Duración mayor a 400 días: revisar fechas",IF(I437="","Falta la forma de pago",IF(L437="","Falta el monto cobrado","OK"))))))))))))</f>
        <v/>
      </c>
    </row>
    <row r="438" customFormat="false" ht="15" hidden="false" customHeight="false" outlineLevel="0" collapsed="false">
      <c r="A438" s="18"/>
      <c r="B438" s="19"/>
      <c r="C438" s="20"/>
      <c r="D438" s="20"/>
      <c r="E438" s="19"/>
      <c r="F438" s="18"/>
      <c r="G438" s="21"/>
      <c r="H438" s="21"/>
      <c r="I438" s="18"/>
      <c r="J438" s="22"/>
      <c r="K438" s="23"/>
      <c r="L438" s="23"/>
      <c r="M438" s="24"/>
      <c r="N438" s="19"/>
      <c r="O438" s="25" t="str">
        <f aca="false">IF(OR(G438="",H438=""),"",H438-G438)</f>
        <v/>
      </c>
      <c r="P438" s="26" t="str">
        <f aca="false">IF(COUNTA(A438:N438)=0,"",IF(B438="","Falta el nombre",IF(C438="","Falta la cédula",IF(LEN(C438)&lt;&gt;10,"La cédula debe tener 10 dígitos",IF(F438="","Falta el tipo de plan",IF(G438="","Falta la fecha de inicio",IF(H438="","Falta la fecha de vencimiento",IF(O438&lt;=0,"El vencimiento debe ser posterior al inicio",IF(AND(F438&lt;&gt;"DIARIO",O438&lt;21),"Duración muy corta: revisar fechas",IF(O438&gt;400,"Duración mayor a 400 días: revisar fechas",IF(I438="","Falta la forma de pago",IF(L438="","Falta el monto cobrado","OK"))))))))))))</f>
        <v/>
      </c>
    </row>
    <row r="439" customFormat="false" ht="15" hidden="false" customHeight="false" outlineLevel="0" collapsed="false">
      <c r="A439" s="18"/>
      <c r="B439" s="19"/>
      <c r="C439" s="20"/>
      <c r="D439" s="20"/>
      <c r="E439" s="19"/>
      <c r="F439" s="18"/>
      <c r="G439" s="21"/>
      <c r="H439" s="21"/>
      <c r="I439" s="18"/>
      <c r="J439" s="22"/>
      <c r="K439" s="23"/>
      <c r="L439" s="23"/>
      <c r="M439" s="24"/>
      <c r="N439" s="19"/>
      <c r="O439" s="25" t="str">
        <f aca="false">IF(OR(G439="",H439=""),"",H439-G439)</f>
        <v/>
      </c>
      <c r="P439" s="26" t="str">
        <f aca="false">IF(COUNTA(A439:N439)=0,"",IF(B439="","Falta el nombre",IF(C439="","Falta la cédula",IF(LEN(C439)&lt;&gt;10,"La cédula debe tener 10 dígitos",IF(F439="","Falta el tipo de plan",IF(G439="","Falta la fecha de inicio",IF(H439="","Falta la fecha de vencimiento",IF(O439&lt;=0,"El vencimiento debe ser posterior al inicio",IF(AND(F439&lt;&gt;"DIARIO",O439&lt;21),"Duración muy corta: revisar fechas",IF(O439&gt;400,"Duración mayor a 400 días: revisar fechas",IF(I439="","Falta la forma de pago",IF(L439="","Falta el monto cobrado","OK"))))))))))))</f>
        <v/>
      </c>
    </row>
    <row r="440" customFormat="false" ht="15" hidden="false" customHeight="false" outlineLevel="0" collapsed="false">
      <c r="A440" s="18"/>
      <c r="B440" s="19"/>
      <c r="C440" s="20"/>
      <c r="D440" s="20"/>
      <c r="E440" s="19"/>
      <c r="F440" s="18"/>
      <c r="G440" s="21"/>
      <c r="H440" s="21"/>
      <c r="I440" s="18"/>
      <c r="J440" s="22"/>
      <c r="K440" s="23"/>
      <c r="L440" s="23"/>
      <c r="M440" s="24"/>
      <c r="N440" s="19"/>
      <c r="O440" s="25" t="str">
        <f aca="false">IF(OR(G440="",H440=""),"",H440-G440)</f>
        <v/>
      </c>
      <c r="P440" s="26" t="str">
        <f aca="false">IF(COUNTA(A440:N440)=0,"",IF(B440="","Falta el nombre",IF(C440="","Falta la cédula",IF(LEN(C440)&lt;&gt;10,"La cédula debe tener 10 dígitos",IF(F440="","Falta el tipo de plan",IF(G440="","Falta la fecha de inicio",IF(H440="","Falta la fecha de vencimiento",IF(O440&lt;=0,"El vencimiento debe ser posterior al inicio",IF(AND(F440&lt;&gt;"DIARIO",O440&lt;21),"Duración muy corta: revisar fechas",IF(O440&gt;400,"Duración mayor a 400 días: revisar fechas",IF(I440="","Falta la forma de pago",IF(L440="","Falta el monto cobrado","OK"))))))))))))</f>
        <v/>
      </c>
    </row>
    <row r="441" customFormat="false" ht="15" hidden="false" customHeight="false" outlineLevel="0" collapsed="false">
      <c r="A441" s="18"/>
      <c r="B441" s="19"/>
      <c r="C441" s="20"/>
      <c r="D441" s="20"/>
      <c r="E441" s="19"/>
      <c r="F441" s="18"/>
      <c r="G441" s="21"/>
      <c r="H441" s="21"/>
      <c r="I441" s="18"/>
      <c r="J441" s="22"/>
      <c r="K441" s="23"/>
      <c r="L441" s="23"/>
      <c r="M441" s="24"/>
      <c r="N441" s="19"/>
      <c r="O441" s="25" t="str">
        <f aca="false">IF(OR(G441="",H441=""),"",H441-G441)</f>
        <v/>
      </c>
      <c r="P441" s="26" t="str">
        <f aca="false">IF(COUNTA(A441:N441)=0,"",IF(B441="","Falta el nombre",IF(C441="","Falta la cédula",IF(LEN(C441)&lt;&gt;10,"La cédula debe tener 10 dígitos",IF(F441="","Falta el tipo de plan",IF(G441="","Falta la fecha de inicio",IF(H441="","Falta la fecha de vencimiento",IF(O441&lt;=0,"El vencimiento debe ser posterior al inicio",IF(AND(F441&lt;&gt;"DIARIO",O441&lt;21),"Duración muy corta: revisar fechas",IF(O441&gt;400,"Duración mayor a 400 días: revisar fechas",IF(I441="","Falta la forma de pago",IF(L441="","Falta el monto cobrado","OK"))))))))))))</f>
        <v/>
      </c>
    </row>
    <row r="442" customFormat="false" ht="15" hidden="false" customHeight="false" outlineLevel="0" collapsed="false">
      <c r="A442" s="18"/>
      <c r="B442" s="19"/>
      <c r="C442" s="20"/>
      <c r="D442" s="20"/>
      <c r="E442" s="19"/>
      <c r="F442" s="18"/>
      <c r="G442" s="21"/>
      <c r="H442" s="21"/>
      <c r="I442" s="18"/>
      <c r="J442" s="22"/>
      <c r="K442" s="23"/>
      <c r="L442" s="23"/>
      <c r="M442" s="24"/>
      <c r="N442" s="19"/>
      <c r="O442" s="25" t="str">
        <f aca="false">IF(OR(G442="",H442=""),"",H442-G442)</f>
        <v/>
      </c>
      <c r="P442" s="26" t="str">
        <f aca="false">IF(COUNTA(A442:N442)=0,"",IF(B442="","Falta el nombre",IF(C442="","Falta la cédula",IF(LEN(C442)&lt;&gt;10,"La cédula debe tener 10 dígitos",IF(F442="","Falta el tipo de plan",IF(G442="","Falta la fecha de inicio",IF(H442="","Falta la fecha de vencimiento",IF(O442&lt;=0,"El vencimiento debe ser posterior al inicio",IF(AND(F442&lt;&gt;"DIARIO",O442&lt;21),"Duración muy corta: revisar fechas",IF(O442&gt;400,"Duración mayor a 400 días: revisar fechas",IF(I442="","Falta la forma de pago",IF(L442="","Falta el monto cobrado","OK"))))))))))))</f>
        <v/>
      </c>
    </row>
    <row r="443" customFormat="false" ht="15" hidden="false" customHeight="false" outlineLevel="0" collapsed="false">
      <c r="A443" s="18"/>
      <c r="B443" s="19"/>
      <c r="C443" s="20"/>
      <c r="D443" s="20"/>
      <c r="E443" s="19"/>
      <c r="F443" s="18"/>
      <c r="G443" s="21"/>
      <c r="H443" s="21"/>
      <c r="I443" s="18"/>
      <c r="J443" s="22"/>
      <c r="K443" s="23"/>
      <c r="L443" s="23"/>
      <c r="M443" s="24"/>
      <c r="N443" s="19"/>
      <c r="O443" s="25" t="str">
        <f aca="false">IF(OR(G443="",H443=""),"",H443-G443)</f>
        <v/>
      </c>
      <c r="P443" s="26" t="str">
        <f aca="false">IF(COUNTA(A443:N443)=0,"",IF(B443="","Falta el nombre",IF(C443="","Falta la cédula",IF(LEN(C443)&lt;&gt;10,"La cédula debe tener 10 dígitos",IF(F443="","Falta el tipo de plan",IF(G443="","Falta la fecha de inicio",IF(H443="","Falta la fecha de vencimiento",IF(O443&lt;=0,"El vencimiento debe ser posterior al inicio",IF(AND(F443&lt;&gt;"DIARIO",O443&lt;21),"Duración muy corta: revisar fechas",IF(O443&gt;400,"Duración mayor a 400 días: revisar fechas",IF(I443="","Falta la forma de pago",IF(L443="","Falta el monto cobrado","OK"))))))))))))</f>
        <v/>
      </c>
    </row>
    <row r="444" customFormat="false" ht="15" hidden="false" customHeight="false" outlineLevel="0" collapsed="false">
      <c r="A444" s="18"/>
      <c r="B444" s="19"/>
      <c r="C444" s="20"/>
      <c r="D444" s="20"/>
      <c r="E444" s="19"/>
      <c r="F444" s="18"/>
      <c r="G444" s="21"/>
      <c r="H444" s="21"/>
      <c r="I444" s="18"/>
      <c r="J444" s="22"/>
      <c r="K444" s="23"/>
      <c r="L444" s="23"/>
      <c r="M444" s="24"/>
      <c r="N444" s="19"/>
      <c r="O444" s="25" t="str">
        <f aca="false">IF(OR(G444="",H444=""),"",H444-G444)</f>
        <v/>
      </c>
      <c r="P444" s="26" t="str">
        <f aca="false">IF(COUNTA(A444:N444)=0,"",IF(B444="","Falta el nombre",IF(C444="","Falta la cédula",IF(LEN(C444)&lt;&gt;10,"La cédula debe tener 10 dígitos",IF(F444="","Falta el tipo de plan",IF(G444="","Falta la fecha de inicio",IF(H444="","Falta la fecha de vencimiento",IF(O444&lt;=0,"El vencimiento debe ser posterior al inicio",IF(AND(F444&lt;&gt;"DIARIO",O444&lt;21),"Duración muy corta: revisar fechas",IF(O444&gt;400,"Duración mayor a 400 días: revisar fechas",IF(I444="","Falta la forma de pago",IF(L444="","Falta el monto cobrado","OK"))))))))))))</f>
        <v/>
      </c>
    </row>
    <row r="445" customFormat="false" ht="15" hidden="false" customHeight="false" outlineLevel="0" collapsed="false">
      <c r="A445" s="18"/>
      <c r="B445" s="19"/>
      <c r="C445" s="20"/>
      <c r="D445" s="20"/>
      <c r="E445" s="19"/>
      <c r="F445" s="18"/>
      <c r="G445" s="21"/>
      <c r="H445" s="21"/>
      <c r="I445" s="18"/>
      <c r="J445" s="22"/>
      <c r="K445" s="23"/>
      <c r="L445" s="23"/>
      <c r="M445" s="24"/>
      <c r="N445" s="19"/>
      <c r="O445" s="25" t="str">
        <f aca="false">IF(OR(G445="",H445=""),"",H445-G445)</f>
        <v/>
      </c>
      <c r="P445" s="26" t="str">
        <f aca="false">IF(COUNTA(A445:N445)=0,"",IF(B445="","Falta el nombre",IF(C445="","Falta la cédula",IF(LEN(C445)&lt;&gt;10,"La cédula debe tener 10 dígitos",IF(F445="","Falta el tipo de plan",IF(G445="","Falta la fecha de inicio",IF(H445="","Falta la fecha de vencimiento",IF(O445&lt;=0,"El vencimiento debe ser posterior al inicio",IF(AND(F445&lt;&gt;"DIARIO",O445&lt;21),"Duración muy corta: revisar fechas",IF(O445&gt;400,"Duración mayor a 400 días: revisar fechas",IF(I445="","Falta la forma de pago",IF(L445="","Falta el monto cobrado","OK"))))))))))))</f>
        <v/>
      </c>
    </row>
    <row r="446" customFormat="false" ht="15" hidden="false" customHeight="false" outlineLevel="0" collapsed="false">
      <c r="A446" s="18"/>
      <c r="B446" s="19"/>
      <c r="C446" s="20"/>
      <c r="D446" s="20"/>
      <c r="E446" s="19"/>
      <c r="F446" s="18"/>
      <c r="G446" s="21"/>
      <c r="H446" s="21"/>
      <c r="I446" s="18"/>
      <c r="J446" s="22"/>
      <c r="K446" s="23"/>
      <c r="L446" s="23"/>
      <c r="M446" s="24"/>
      <c r="N446" s="19"/>
      <c r="O446" s="25" t="str">
        <f aca="false">IF(OR(G446="",H446=""),"",H446-G446)</f>
        <v/>
      </c>
      <c r="P446" s="26" t="str">
        <f aca="false">IF(COUNTA(A446:N446)=0,"",IF(B446="","Falta el nombre",IF(C446="","Falta la cédula",IF(LEN(C446)&lt;&gt;10,"La cédula debe tener 10 dígitos",IF(F446="","Falta el tipo de plan",IF(G446="","Falta la fecha de inicio",IF(H446="","Falta la fecha de vencimiento",IF(O446&lt;=0,"El vencimiento debe ser posterior al inicio",IF(AND(F446&lt;&gt;"DIARIO",O446&lt;21),"Duración muy corta: revisar fechas",IF(O446&gt;400,"Duración mayor a 400 días: revisar fechas",IF(I446="","Falta la forma de pago",IF(L446="","Falta el monto cobrado","OK"))))))))))))</f>
        <v/>
      </c>
    </row>
    <row r="447" customFormat="false" ht="15" hidden="false" customHeight="false" outlineLevel="0" collapsed="false">
      <c r="A447" s="18"/>
      <c r="B447" s="19"/>
      <c r="C447" s="20"/>
      <c r="D447" s="20"/>
      <c r="E447" s="19"/>
      <c r="F447" s="18"/>
      <c r="G447" s="21"/>
      <c r="H447" s="21"/>
      <c r="I447" s="18"/>
      <c r="J447" s="22"/>
      <c r="K447" s="23"/>
      <c r="L447" s="23"/>
      <c r="M447" s="24"/>
      <c r="N447" s="19"/>
      <c r="O447" s="25" t="str">
        <f aca="false">IF(OR(G447="",H447=""),"",H447-G447)</f>
        <v/>
      </c>
      <c r="P447" s="26" t="str">
        <f aca="false">IF(COUNTA(A447:N447)=0,"",IF(B447="","Falta el nombre",IF(C447="","Falta la cédula",IF(LEN(C447)&lt;&gt;10,"La cédula debe tener 10 dígitos",IF(F447="","Falta el tipo de plan",IF(G447="","Falta la fecha de inicio",IF(H447="","Falta la fecha de vencimiento",IF(O447&lt;=0,"El vencimiento debe ser posterior al inicio",IF(AND(F447&lt;&gt;"DIARIO",O447&lt;21),"Duración muy corta: revisar fechas",IF(O447&gt;400,"Duración mayor a 400 días: revisar fechas",IF(I447="","Falta la forma de pago",IF(L447="","Falta el monto cobrado","OK"))))))))))))</f>
        <v/>
      </c>
    </row>
    <row r="448" customFormat="false" ht="15" hidden="false" customHeight="false" outlineLevel="0" collapsed="false">
      <c r="A448" s="18"/>
      <c r="B448" s="19"/>
      <c r="C448" s="20"/>
      <c r="D448" s="20"/>
      <c r="E448" s="19"/>
      <c r="F448" s="18"/>
      <c r="G448" s="21"/>
      <c r="H448" s="21"/>
      <c r="I448" s="18"/>
      <c r="J448" s="22"/>
      <c r="K448" s="23"/>
      <c r="L448" s="23"/>
      <c r="M448" s="24"/>
      <c r="N448" s="19"/>
      <c r="O448" s="25" t="str">
        <f aca="false">IF(OR(G448="",H448=""),"",H448-G448)</f>
        <v/>
      </c>
      <c r="P448" s="26" t="str">
        <f aca="false">IF(COUNTA(A448:N448)=0,"",IF(B448="","Falta el nombre",IF(C448="","Falta la cédula",IF(LEN(C448)&lt;&gt;10,"La cédula debe tener 10 dígitos",IF(F448="","Falta el tipo de plan",IF(G448="","Falta la fecha de inicio",IF(H448="","Falta la fecha de vencimiento",IF(O448&lt;=0,"El vencimiento debe ser posterior al inicio",IF(AND(F448&lt;&gt;"DIARIO",O448&lt;21),"Duración muy corta: revisar fechas",IF(O448&gt;400,"Duración mayor a 400 días: revisar fechas",IF(I448="","Falta la forma de pago",IF(L448="","Falta el monto cobrado","OK"))))))))))))</f>
        <v/>
      </c>
    </row>
    <row r="449" customFormat="false" ht="15" hidden="false" customHeight="false" outlineLevel="0" collapsed="false">
      <c r="A449" s="18"/>
      <c r="B449" s="19"/>
      <c r="C449" s="20"/>
      <c r="D449" s="20"/>
      <c r="E449" s="19"/>
      <c r="F449" s="18"/>
      <c r="G449" s="21"/>
      <c r="H449" s="21"/>
      <c r="I449" s="18"/>
      <c r="J449" s="22"/>
      <c r="K449" s="23"/>
      <c r="L449" s="23"/>
      <c r="M449" s="24"/>
      <c r="N449" s="19"/>
      <c r="O449" s="25" t="str">
        <f aca="false">IF(OR(G449="",H449=""),"",H449-G449)</f>
        <v/>
      </c>
      <c r="P449" s="26" t="str">
        <f aca="false">IF(COUNTA(A449:N449)=0,"",IF(B449="","Falta el nombre",IF(C449="","Falta la cédula",IF(LEN(C449)&lt;&gt;10,"La cédula debe tener 10 dígitos",IF(F449="","Falta el tipo de plan",IF(G449="","Falta la fecha de inicio",IF(H449="","Falta la fecha de vencimiento",IF(O449&lt;=0,"El vencimiento debe ser posterior al inicio",IF(AND(F449&lt;&gt;"DIARIO",O449&lt;21),"Duración muy corta: revisar fechas",IF(O449&gt;400,"Duración mayor a 400 días: revisar fechas",IF(I449="","Falta la forma de pago",IF(L449="","Falta el monto cobrado","OK"))))))))))))</f>
        <v/>
      </c>
    </row>
    <row r="450" customFormat="false" ht="15" hidden="false" customHeight="false" outlineLevel="0" collapsed="false">
      <c r="A450" s="18"/>
      <c r="B450" s="19"/>
      <c r="C450" s="20"/>
      <c r="D450" s="20"/>
      <c r="E450" s="19"/>
      <c r="F450" s="18"/>
      <c r="G450" s="21"/>
      <c r="H450" s="21"/>
      <c r="I450" s="18"/>
      <c r="J450" s="22"/>
      <c r="K450" s="23"/>
      <c r="L450" s="23"/>
      <c r="M450" s="24"/>
      <c r="N450" s="19"/>
      <c r="O450" s="25" t="str">
        <f aca="false">IF(OR(G450="",H450=""),"",H450-G450)</f>
        <v/>
      </c>
      <c r="P450" s="26" t="str">
        <f aca="false">IF(COUNTA(A450:N450)=0,"",IF(B450="","Falta el nombre",IF(C450="","Falta la cédula",IF(LEN(C450)&lt;&gt;10,"La cédula debe tener 10 dígitos",IF(F450="","Falta el tipo de plan",IF(G450="","Falta la fecha de inicio",IF(H450="","Falta la fecha de vencimiento",IF(O450&lt;=0,"El vencimiento debe ser posterior al inicio",IF(AND(F450&lt;&gt;"DIARIO",O450&lt;21),"Duración muy corta: revisar fechas",IF(O450&gt;400,"Duración mayor a 400 días: revisar fechas",IF(I450="","Falta la forma de pago",IF(L450="","Falta el monto cobrado","OK"))))))))))))</f>
        <v/>
      </c>
    </row>
    <row r="451" customFormat="false" ht="15" hidden="false" customHeight="false" outlineLevel="0" collapsed="false">
      <c r="A451" s="18"/>
      <c r="B451" s="19"/>
      <c r="C451" s="20"/>
      <c r="D451" s="20"/>
      <c r="E451" s="19"/>
      <c r="F451" s="18"/>
      <c r="G451" s="21"/>
      <c r="H451" s="21"/>
      <c r="I451" s="18"/>
      <c r="J451" s="22"/>
      <c r="K451" s="23"/>
      <c r="L451" s="23"/>
      <c r="M451" s="24"/>
      <c r="N451" s="19"/>
      <c r="O451" s="25" t="str">
        <f aca="false">IF(OR(G451="",H451=""),"",H451-G451)</f>
        <v/>
      </c>
      <c r="P451" s="26" t="str">
        <f aca="false">IF(COUNTA(A451:N451)=0,"",IF(B451="","Falta el nombre",IF(C451="","Falta la cédula",IF(LEN(C451)&lt;&gt;10,"La cédula debe tener 10 dígitos",IF(F451="","Falta el tipo de plan",IF(G451="","Falta la fecha de inicio",IF(H451="","Falta la fecha de vencimiento",IF(O451&lt;=0,"El vencimiento debe ser posterior al inicio",IF(AND(F451&lt;&gt;"DIARIO",O451&lt;21),"Duración muy corta: revisar fechas",IF(O451&gt;400,"Duración mayor a 400 días: revisar fechas",IF(I451="","Falta la forma de pago",IF(L451="","Falta el monto cobrado","OK"))))))))))))</f>
        <v/>
      </c>
    </row>
    <row r="452" customFormat="false" ht="15" hidden="false" customHeight="false" outlineLevel="0" collapsed="false">
      <c r="A452" s="18"/>
      <c r="B452" s="19"/>
      <c r="C452" s="20"/>
      <c r="D452" s="20"/>
      <c r="E452" s="19"/>
      <c r="F452" s="18"/>
      <c r="G452" s="21"/>
      <c r="H452" s="21"/>
      <c r="I452" s="18"/>
      <c r="J452" s="22"/>
      <c r="K452" s="23"/>
      <c r="L452" s="23"/>
      <c r="M452" s="24"/>
      <c r="N452" s="19"/>
      <c r="O452" s="25" t="str">
        <f aca="false">IF(OR(G452="",H452=""),"",H452-G452)</f>
        <v/>
      </c>
      <c r="P452" s="26" t="str">
        <f aca="false">IF(COUNTA(A452:N452)=0,"",IF(B452="","Falta el nombre",IF(C452="","Falta la cédula",IF(LEN(C452)&lt;&gt;10,"La cédula debe tener 10 dígitos",IF(F452="","Falta el tipo de plan",IF(G452="","Falta la fecha de inicio",IF(H452="","Falta la fecha de vencimiento",IF(O452&lt;=0,"El vencimiento debe ser posterior al inicio",IF(AND(F452&lt;&gt;"DIARIO",O452&lt;21),"Duración muy corta: revisar fechas",IF(O452&gt;400,"Duración mayor a 400 días: revisar fechas",IF(I452="","Falta la forma de pago",IF(L452="","Falta el monto cobrado","OK"))))))))))))</f>
        <v/>
      </c>
    </row>
    <row r="453" customFormat="false" ht="15" hidden="false" customHeight="false" outlineLevel="0" collapsed="false">
      <c r="A453" s="18"/>
      <c r="B453" s="19"/>
      <c r="C453" s="20"/>
      <c r="D453" s="20"/>
      <c r="E453" s="19"/>
      <c r="F453" s="18"/>
      <c r="G453" s="21"/>
      <c r="H453" s="21"/>
      <c r="I453" s="18"/>
      <c r="J453" s="22"/>
      <c r="K453" s="23"/>
      <c r="L453" s="23"/>
      <c r="M453" s="24"/>
      <c r="N453" s="19"/>
      <c r="O453" s="25" t="str">
        <f aca="false">IF(OR(G453="",H453=""),"",H453-G453)</f>
        <v/>
      </c>
      <c r="P453" s="26" t="str">
        <f aca="false">IF(COUNTA(A453:N453)=0,"",IF(B453="","Falta el nombre",IF(C453="","Falta la cédula",IF(LEN(C453)&lt;&gt;10,"La cédula debe tener 10 dígitos",IF(F453="","Falta el tipo de plan",IF(G453="","Falta la fecha de inicio",IF(H453="","Falta la fecha de vencimiento",IF(O453&lt;=0,"El vencimiento debe ser posterior al inicio",IF(AND(F453&lt;&gt;"DIARIO",O453&lt;21),"Duración muy corta: revisar fechas",IF(O453&gt;400,"Duración mayor a 400 días: revisar fechas",IF(I453="","Falta la forma de pago",IF(L453="","Falta el monto cobrado","OK"))))))))))))</f>
        <v/>
      </c>
    </row>
    <row r="454" customFormat="false" ht="15" hidden="false" customHeight="false" outlineLevel="0" collapsed="false">
      <c r="A454" s="18"/>
      <c r="B454" s="19"/>
      <c r="C454" s="20"/>
      <c r="D454" s="20"/>
      <c r="E454" s="19"/>
      <c r="F454" s="18"/>
      <c r="G454" s="21"/>
      <c r="H454" s="21"/>
      <c r="I454" s="18"/>
      <c r="J454" s="22"/>
      <c r="K454" s="23"/>
      <c r="L454" s="23"/>
      <c r="M454" s="24"/>
      <c r="N454" s="19"/>
      <c r="O454" s="25" t="str">
        <f aca="false">IF(OR(G454="",H454=""),"",H454-G454)</f>
        <v/>
      </c>
      <c r="P454" s="26" t="str">
        <f aca="false">IF(COUNTA(A454:N454)=0,"",IF(B454="","Falta el nombre",IF(C454="","Falta la cédula",IF(LEN(C454)&lt;&gt;10,"La cédula debe tener 10 dígitos",IF(F454="","Falta el tipo de plan",IF(G454="","Falta la fecha de inicio",IF(H454="","Falta la fecha de vencimiento",IF(O454&lt;=0,"El vencimiento debe ser posterior al inicio",IF(AND(F454&lt;&gt;"DIARIO",O454&lt;21),"Duración muy corta: revisar fechas",IF(O454&gt;400,"Duración mayor a 400 días: revisar fechas",IF(I454="","Falta la forma de pago",IF(L454="","Falta el monto cobrado","OK"))))))))))))</f>
        <v/>
      </c>
    </row>
    <row r="455" customFormat="false" ht="15" hidden="false" customHeight="false" outlineLevel="0" collapsed="false">
      <c r="A455" s="18"/>
      <c r="B455" s="19"/>
      <c r="C455" s="20"/>
      <c r="D455" s="20"/>
      <c r="E455" s="19"/>
      <c r="F455" s="18"/>
      <c r="G455" s="21"/>
      <c r="H455" s="21"/>
      <c r="I455" s="18"/>
      <c r="J455" s="22"/>
      <c r="K455" s="23"/>
      <c r="L455" s="23"/>
      <c r="M455" s="24"/>
      <c r="N455" s="19"/>
      <c r="O455" s="25" t="str">
        <f aca="false">IF(OR(G455="",H455=""),"",H455-G455)</f>
        <v/>
      </c>
      <c r="P455" s="26" t="str">
        <f aca="false">IF(COUNTA(A455:N455)=0,"",IF(B455="","Falta el nombre",IF(C455="","Falta la cédula",IF(LEN(C455)&lt;&gt;10,"La cédula debe tener 10 dígitos",IF(F455="","Falta el tipo de plan",IF(G455="","Falta la fecha de inicio",IF(H455="","Falta la fecha de vencimiento",IF(O455&lt;=0,"El vencimiento debe ser posterior al inicio",IF(AND(F455&lt;&gt;"DIARIO",O455&lt;21),"Duración muy corta: revisar fechas",IF(O455&gt;400,"Duración mayor a 400 días: revisar fechas",IF(I455="","Falta la forma de pago",IF(L455="","Falta el monto cobrado","OK"))))))))))))</f>
        <v/>
      </c>
    </row>
    <row r="456" customFormat="false" ht="15" hidden="false" customHeight="false" outlineLevel="0" collapsed="false">
      <c r="A456" s="18"/>
      <c r="B456" s="19"/>
      <c r="C456" s="20"/>
      <c r="D456" s="20"/>
      <c r="E456" s="19"/>
      <c r="F456" s="18"/>
      <c r="G456" s="21"/>
      <c r="H456" s="21"/>
      <c r="I456" s="18"/>
      <c r="J456" s="22"/>
      <c r="K456" s="23"/>
      <c r="L456" s="23"/>
      <c r="M456" s="24"/>
      <c r="N456" s="19"/>
      <c r="O456" s="25" t="str">
        <f aca="false">IF(OR(G456="",H456=""),"",H456-G456)</f>
        <v/>
      </c>
      <c r="P456" s="26" t="str">
        <f aca="false">IF(COUNTA(A456:N456)=0,"",IF(B456="","Falta el nombre",IF(C456="","Falta la cédula",IF(LEN(C456)&lt;&gt;10,"La cédula debe tener 10 dígitos",IF(F456="","Falta el tipo de plan",IF(G456="","Falta la fecha de inicio",IF(H456="","Falta la fecha de vencimiento",IF(O456&lt;=0,"El vencimiento debe ser posterior al inicio",IF(AND(F456&lt;&gt;"DIARIO",O456&lt;21),"Duración muy corta: revisar fechas",IF(O456&gt;400,"Duración mayor a 400 días: revisar fechas",IF(I456="","Falta la forma de pago",IF(L456="","Falta el monto cobrado","OK"))))))))))))</f>
        <v/>
      </c>
    </row>
    <row r="457" customFormat="false" ht="15" hidden="false" customHeight="false" outlineLevel="0" collapsed="false">
      <c r="A457" s="18"/>
      <c r="B457" s="19"/>
      <c r="C457" s="20"/>
      <c r="D457" s="20"/>
      <c r="E457" s="19"/>
      <c r="F457" s="18"/>
      <c r="G457" s="21"/>
      <c r="H457" s="21"/>
      <c r="I457" s="18"/>
      <c r="J457" s="22"/>
      <c r="K457" s="23"/>
      <c r="L457" s="23"/>
      <c r="M457" s="24"/>
      <c r="N457" s="19"/>
      <c r="O457" s="25" t="str">
        <f aca="false">IF(OR(G457="",H457=""),"",H457-G457)</f>
        <v/>
      </c>
      <c r="P457" s="26" t="str">
        <f aca="false">IF(COUNTA(A457:N457)=0,"",IF(B457="","Falta el nombre",IF(C457="","Falta la cédula",IF(LEN(C457)&lt;&gt;10,"La cédula debe tener 10 dígitos",IF(F457="","Falta el tipo de plan",IF(G457="","Falta la fecha de inicio",IF(H457="","Falta la fecha de vencimiento",IF(O457&lt;=0,"El vencimiento debe ser posterior al inicio",IF(AND(F457&lt;&gt;"DIARIO",O457&lt;21),"Duración muy corta: revisar fechas",IF(O457&gt;400,"Duración mayor a 400 días: revisar fechas",IF(I457="","Falta la forma de pago",IF(L457="","Falta el monto cobrado","OK"))))))))))))</f>
        <v/>
      </c>
    </row>
    <row r="458" customFormat="false" ht="15" hidden="false" customHeight="false" outlineLevel="0" collapsed="false">
      <c r="A458" s="18"/>
      <c r="B458" s="19"/>
      <c r="C458" s="20"/>
      <c r="D458" s="20"/>
      <c r="E458" s="19"/>
      <c r="F458" s="18"/>
      <c r="G458" s="21"/>
      <c r="H458" s="21"/>
      <c r="I458" s="18"/>
      <c r="J458" s="22"/>
      <c r="K458" s="23"/>
      <c r="L458" s="23"/>
      <c r="M458" s="24"/>
      <c r="N458" s="19"/>
      <c r="O458" s="25" t="str">
        <f aca="false">IF(OR(G458="",H458=""),"",H458-G458)</f>
        <v/>
      </c>
      <c r="P458" s="26" t="str">
        <f aca="false">IF(COUNTA(A458:N458)=0,"",IF(B458="","Falta el nombre",IF(C458="","Falta la cédula",IF(LEN(C458)&lt;&gt;10,"La cédula debe tener 10 dígitos",IF(F458="","Falta el tipo de plan",IF(G458="","Falta la fecha de inicio",IF(H458="","Falta la fecha de vencimiento",IF(O458&lt;=0,"El vencimiento debe ser posterior al inicio",IF(AND(F458&lt;&gt;"DIARIO",O458&lt;21),"Duración muy corta: revisar fechas",IF(O458&gt;400,"Duración mayor a 400 días: revisar fechas",IF(I458="","Falta la forma de pago",IF(L458="","Falta el monto cobrado","OK"))))))))))))</f>
        <v/>
      </c>
    </row>
    <row r="459" customFormat="false" ht="15" hidden="false" customHeight="false" outlineLevel="0" collapsed="false">
      <c r="A459" s="18"/>
      <c r="B459" s="19"/>
      <c r="C459" s="20"/>
      <c r="D459" s="20"/>
      <c r="E459" s="19"/>
      <c r="F459" s="18"/>
      <c r="G459" s="21"/>
      <c r="H459" s="21"/>
      <c r="I459" s="18"/>
      <c r="J459" s="22"/>
      <c r="K459" s="23"/>
      <c r="L459" s="23"/>
      <c r="M459" s="24"/>
      <c r="N459" s="19"/>
      <c r="O459" s="25" t="str">
        <f aca="false">IF(OR(G459="",H459=""),"",H459-G459)</f>
        <v/>
      </c>
      <c r="P459" s="26" t="str">
        <f aca="false">IF(COUNTA(A459:N459)=0,"",IF(B459="","Falta el nombre",IF(C459="","Falta la cédula",IF(LEN(C459)&lt;&gt;10,"La cédula debe tener 10 dígitos",IF(F459="","Falta el tipo de plan",IF(G459="","Falta la fecha de inicio",IF(H459="","Falta la fecha de vencimiento",IF(O459&lt;=0,"El vencimiento debe ser posterior al inicio",IF(AND(F459&lt;&gt;"DIARIO",O459&lt;21),"Duración muy corta: revisar fechas",IF(O459&gt;400,"Duración mayor a 400 días: revisar fechas",IF(I459="","Falta la forma de pago",IF(L459="","Falta el monto cobrado","OK"))))))))))))</f>
        <v/>
      </c>
    </row>
    <row r="460" customFormat="false" ht="15" hidden="false" customHeight="false" outlineLevel="0" collapsed="false">
      <c r="A460" s="18"/>
      <c r="B460" s="19"/>
      <c r="C460" s="20"/>
      <c r="D460" s="20"/>
      <c r="E460" s="19"/>
      <c r="F460" s="18"/>
      <c r="G460" s="21"/>
      <c r="H460" s="21"/>
      <c r="I460" s="18"/>
      <c r="J460" s="22"/>
      <c r="K460" s="23"/>
      <c r="L460" s="23"/>
      <c r="M460" s="24"/>
      <c r="N460" s="19"/>
      <c r="O460" s="25" t="str">
        <f aca="false">IF(OR(G460="",H460=""),"",H460-G460)</f>
        <v/>
      </c>
      <c r="P460" s="26" t="str">
        <f aca="false">IF(COUNTA(A460:N460)=0,"",IF(B460="","Falta el nombre",IF(C460="","Falta la cédula",IF(LEN(C460)&lt;&gt;10,"La cédula debe tener 10 dígitos",IF(F460="","Falta el tipo de plan",IF(G460="","Falta la fecha de inicio",IF(H460="","Falta la fecha de vencimiento",IF(O460&lt;=0,"El vencimiento debe ser posterior al inicio",IF(AND(F460&lt;&gt;"DIARIO",O460&lt;21),"Duración muy corta: revisar fechas",IF(O460&gt;400,"Duración mayor a 400 días: revisar fechas",IF(I460="","Falta la forma de pago",IF(L460="","Falta el monto cobrado","OK"))))))))))))</f>
        <v/>
      </c>
    </row>
    <row r="461" customFormat="false" ht="15" hidden="false" customHeight="false" outlineLevel="0" collapsed="false">
      <c r="A461" s="18"/>
      <c r="B461" s="19"/>
      <c r="C461" s="20"/>
      <c r="D461" s="20"/>
      <c r="E461" s="19"/>
      <c r="F461" s="18"/>
      <c r="G461" s="21"/>
      <c r="H461" s="21"/>
      <c r="I461" s="18"/>
      <c r="J461" s="22"/>
      <c r="K461" s="23"/>
      <c r="L461" s="23"/>
      <c r="M461" s="24"/>
      <c r="N461" s="19"/>
      <c r="O461" s="25" t="str">
        <f aca="false">IF(OR(G461="",H461=""),"",H461-G461)</f>
        <v/>
      </c>
      <c r="P461" s="26" t="str">
        <f aca="false">IF(COUNTA(A461:N461)=0,"",IF(B461="","Falta el nombre",IF(C461="","Falta la cédula",IF(LEN(C461)&lt;&gt;10,"La cédula debe tener 10 dígitos",IF(F461="","Falta el tipo de plan",IF(G461="","Falta la fecha de inicio",IF(H461="","Falta la fecha de vencimiento",IF(O461&lt;=0,"El vencimiento debe ser posterior al inicio",IF(AND(F461&lt;&gt;"DIARIO",O461&lt;21),"Duración muy corta: revisar fechas",IF(O461&gt;400,"Duración mayor a 400 días: revisar fechas",IF(I461="","Falta la forma de pago",IF(L461="","Falta el monto cobrado","OK"))))))))))))</f>
        <v/>
      </c>
    </row>
    <row r="462" customFormat="false" ht="15" hidden="false" customHeight="false" outlineLevel="0" collapsed="false">
      <c r="A462" s="18"/>
      <c r="B462" s="19"/>
      <c r="C462" s="20"/>
      <c r="D462" s="20"/>
      <c r="E462" s="19"/>
      <c r="F462" s="18"/>
      <c r="G462" s="21"/>
      <c r="H462" s="21"/>
      <c r="I462" s="18"/>
      <c r="J462" s="22"/>
      <c r="K462" s="23"/>
      <c r="L462" s="23"/>
      <c r="M462" s="24"/>
      <c r="N462" s="19"/>
      <c r="O462" s="25" t="str">
        <f aca="false">IF(OR(G462="",H462=""),"",H462-G462)</f>
        <v/>
      </c>
      <c r="P462" s="26" t="str">
        <f aca="false">IF(COUNTA(A462:N462)=0,"",IF(B462="","Falta el nombre",IF(C462="","Falta la cédula",IF(LEN(C462)&lt;&gt;10,"La cédula debe tener 10 dígitos",IF(F462="","Falta el tipo de plan",IF(G462="","Falta la fecha de inicio",IF(H462="","Falta la fecha de vencimiento",IF(O462&lt;=0,"El vencimiento debe ser posterior al inicio",IF(AND(F462&lt;&gt;"DIARIO",O462&lt;21),"Duración muy corta: revisar fechas",IF(O462&gt;400,"Duración mayor a 400 días: revisar fechas",IF(I462="","Falta la forma de pago",IF(L462="","Falta el monto cobrado","OK"))))))))))))</f>
        <v/>
      </c>
    </row>
    <row r="463" customFormat="false" ht="15" hidden="false" customHeight="false" outlineLevel="0" collapsed="false">
      <c r="A463" s="18"/>
      <c r="B463" s="19"/>
      <c r="C463" s="20"/>
      <c r="D463" s="20"/>
      <c r="E463" s="19"/>
      <c r="F463" s="18"/>
      <c r="G463" s="21"/>
      <c r="H463" s="21"/>
      <c r="I463" s="18"/>
      <c r="J463" s="22"/>
      <c r="K463" s="23"/>
      <c r="L463" s="23"/>
      <c r="M463" s="24"/>
      <c r="N463" s="19"/>
      <c r="O463" s="25" t="str">
        <f aca="false">IF(OR(G463="",H463=""),"",H463-G463)</f>
        <v/>
      </c>
      <c r="P463" s="26" t="str">
        <f aca="false">IF(COUNTA(A463:N463)=0,"",IF(B463="","Falta el nombre",IF(C463="","Falta la cédula",IF(LEN(C463)&lt;&gt;10,"La cédula debe tener 10 dígitos",IF(F463="","Falta el tipo de plan",IF(G463="","Falta la fecha de inicio",IF(H463="","Falta la fecha de vencimiento",IF(O463&lt;=0,"El vencimiento debe ser posterior al inicio",IF(AND(F463&lt;&gt;"DIARIO",O463&lt;21),"Duración muy corta: revisar fechas",IF(O463&gt;400,"Duración mayor a 400 días: revisar fechas",IF(I463="","Falta la forma de pago",IF(L463="","Falta el monto cobrado","OK"))))))))))))</f>
        <v/>
      </c>
    </row>
    <row r="464" customFormat="false" ht="15" hidden="false" customHeight="false" outlineLevel="0" collapsed="false">
      <c r="A464" s="18"/>
      <c r="B464" s="19"/>
      <c r="C464" s="20"/>
      <c r="D464" s="20"/>
      <c r="E464" s="19"/>
      <c r="F464" s="18"/>
      <c r="G464" s="21"/>
      <c r="H464" s="21"/>
      <c r="I464" s="18"/>
      <c r="J464" s="22"/>
      <c r="K464" s="23"/>
      <c r="L464" s="23"/>
      <c r="M464" s="24"/>
      <c r="N464" s="19"/>
      <c r="O464" s="25" t="str">
        <f aca="false">IF(OR(G464="",H464=""),"",H464-G464)</f>
        <v/>
      </c>
      <c r="P464" s="26" t="str">
        <f aca="false">IF(COUNTA(A464:N464)=0,"",IF(B464="","Falta el nombre",IF(C464="","Falta la cédula",IF(LEN(C464)&lt;&gt;10,"La cédula debe tener 10 dígitos",IF(F464="","Falta el tipo de plan",IF(G464="","Falta la fecha de inicio",IF(H464="","Falta la fecha de vencimiento",IF(O464&lt;=0,"El vencimiento debe ser posterior al inicio",IF(AND(F464&lt;&gt;"DIARIO",O464&lt;21),"Duración muy corta: revisar fechas",IF(O464&gt;400,"Duración mayor a 400 días: revisar fechas",IF(I464="","Falta la forma de pago",IF(L464="","Falta el monto cobrado","OK"))))))))))))</f>
        <v/>
      </c>
    </row>
    <row r="465" customFormat="false" ht="15" hidden="false" customHeight="false" outlineLevel="0" collapsed="false">
      <c r="A465" s="18"/>
      <c r="B465" s="19"/>
      <c r="C465" s="20"/>
      <c r="D465" s="20"/>
      <c r="E465" s="19"/>
      <c r="F465" s="18"/>
      <c r="G465" s="21"/>
      <c r="H465" s="21"/>
      <c r="I465" s="18"/>
      <c r="J465" s="22"/>
      <c r="K465" s="23"/>
      <c r="L465" s="23"/>
      <c r="M465" s="24"/>
      <c r="N465" s="19"/>
      <c r="O465" s="25" t="str">
        <f aca="false">IF(OR(G465="",H465=""),"",H465-G465)</f>
        <v/>
      </c>
      <c r="P465" s="26" t="str">
        <f aca="false">IF(COUNTA(A465:N465)=0,"",IF(B465="","Falta el nombre",IF(C465="","Falta la cédula",IF(LEN(C465)&lt;&gt;10,"La cédula debe tener 10 dígitos",IF(F465="","Falta el tipo de plan",IF(G465="","Falta la fecha de inicio",IF(H465="","Falta la fecha de vencimiento",IF(O465&lt;=0,"El vencimiento debe ser posterior al inicio",IF(AND(F465&lt;&gt;"DIARIO",O465&lt;21),"Duración muy corta: revisar fechas",IF(O465&gt;400,"Duración mayor a 400 días: revisar fechas",IF(I465="","Falta la forma de pago",IF(L465="","Falta el monto cobrado","OK"))))))))))))</f>
        <v/>
      </c>
    </row>
    <row r="466" customFormat="false" ht="15" hidden="false" customHeight="false" outlineLevel="0" collapsed="false">
      <c r="A466" s="18"/>
      <c r="B466" s="19"/>
      <c r="C466" s="20"/>
      <c r="D466" s="20"/>
      <c r="E466" s="19"/>
      <c r="F466" s="18"/>
      <c r="G466" s="21"/>
      <c r="H466" s="21"/>
      <c r="I466" s="18"/>
      <c r="J466" s="22"/>
      <c r="K466" s="23"/>
      <c r="L466" s="23"/>
      <c r="M466" s="24"/>
      <c r="N466" s="19"/>
      <c r="O466" s="25" t="str">
        <f aca="false">IF(OR(G466="",H466=""),"",H466-G466)</f>
        <v/>
      </c>
      <c r="P466" s="26" t="str">
        <f aca="false">IF(COUNTA(A466:N466)=0,"",IF(B466="","Falta el nombre",IF(C466="","Falta la cédula",IF(LEN(C466)&lt;&gt;10,"La cédula debe tener 10 dígitos",IF(F466="","Falta el tipo de plan",IF(G466="","Falta la fecha de inicio",IF(H466="","Falta la fecha de vencimiento",IF(O466&lt;=0,"El vencimiento debe ser posterior al inicio",IF(AND(F466&lt;&gt;"DIARIO",O466&lt;21),"Duración muy corta: revisar fechas",IF(O466&gt;400,"Duración mayor a 400 días: revisar fechas",IF(I466="","Falta la forma de pago",IF(L466="","Falta el monto cobrado","OK"))))))))))))</f>
        <v/>
      </c>
    </row>
    <row r="467" customFormat="false" ht="15" hidden="false" customHeight="false" outlineLevel="0" collapsed="false">
      <c r="A467" s="18"/>
      <c r="B467" s="19"/>
      <c r="C467" s="20"/>
      <c r="D467" s="20"/>
      <c r="E467" s="19"/>
      <c r="F467" s="18"/>
      <c r="G467" s="21"/>
      <c r="H467" s="21"/>
      <c r="I467" s="18"/>
      <c r="J467" s="22"/>
      <c r="K467" s="23"/>
      <c r="L467" s="23"/>
      <c r="M467" s="24"/>
      <c r="N467" s="19"/>
      <c r="O467" s="25" t="str">
        <f aca="false">IF(OR(G467="",H467=""),"",H467-G467)</f>
        <v/>
      </c>
      <c r="P467" s="26" t="str">
        <f aca="false">IF(COUNTA(A467:N467)=0,"",IF(B467="","Falta el nombre",IF(C467="","Falta la cédula",IF(LEN(C467)&lt;&gt;10,"La cédula debe tener 10 dígitos",IF(F467="","Falta el tipo de plan",IF(G467="","Falta la fecha de inicio",IF(H467="","Falta la fecha de vencimiento",IF(O467&lt;=0,"El vencimiento debe ser posterior al inicio",IF(AND(F467&lt;&gt;"DIARIO",O467&lt;21),"Duración muy corta: revisar fechas",IF(O467&gt;400,"Duración mayor a 400 días: revisar fechas",IF(I467="","Falta la forma de pago",IF(L467="","Falta el monto cobrado","OK"))))))))))))</f>
        <v/>
      </c>
    </row>
    <row r="468" customFormat="false" ht="15" hidden="false" customHeight="false" outlineLevel="0" collapsed="false">
      <c r="A468" s="18"/>
      <c r="B468" s="19"/>
      <c r="C468" s="20"/>
      <c r="D468" s="20"/>
      <c r="E468" s="19"/>
      <c r="F468" s="18"/>
      <c r="G468" s="21"/>
      <c r="H468" s="21"/>
      <c r="I468" s="18"/>
      <c r="J468" s="22"/>
      <c r="K468" s="23"/>
      <c r="L468" s="23"/>
      <c r="M468" s="24"/>
      <c r="N468" s="19"/>
      <c r="O468" s="25" t="str">
        <f aca="false">IF(OR(G468="",H468=""),"",H468-G468)</f>
        <v/>
      </c>
      <c r="P468" s="26" t="str">
        <f aca="false">IF(COUNTA(A468:N468)=0,"",IF(B468="","Falta el nombre",IF(C468="","Falta la cédula",IF(LEN(C468)&lt;&gt;10,"La cédula debe tener 10 dígitos",IF(F468="","Falta el tipo de plan",IF(G468="","Falta la fecha de inicio",IF(H468="","Falta la fecha de vencimiento",IF(O468&lt;=0,"El vencimiento debe ser posterior al inicio",IF(AND(F468&lt;&gt;"DIARIO",O468&lt;21),"Duración muy corta: revisar fechas",IF(O468&gt;400,"Duración mayor a 400 días: revisar fechas",IF(I468="","Falta la forma de pago",IF(L468="","Falta el monto cobrado","OK"))))))))))))</f>
        <v/>
      </c>
    </row>
    <row r="469" customFormat="false" ht="15" hidden="false" customHeight="false" outlineLevel="0" collapsed="false">
      <c r="A469" s="18"/>
      <c r="B469" s="19"/>
      <c r="C469" s="20"/>
      <c r="D469" s="20"/>
      <c r="E469" s="19"/>
      <c r="F469" s="18"/>
      <c r="G469" s="21"/>
      <c r="H469" s="21"/>
      <c r="I469" s="18"/>
      <c r="J469" s="22"/>
      <c r="K469" s="23"/>
      <c r="L469" s="23"/>
      <c r="M469" s="24"/>
      <c r="N469" s="19"/>
      <c r="O469" s="25" t="str">
        <f aca="false">IF(OR(G469="",H469=""),"",H469-G469)</f>
        <v/>
      </c>
      <c r="P469" s="26" t="str">
        <f aca="false">IF(COUNTA(A469:N469)=0,"",IF(B469="","Falta el nombre",IF(C469="","Falta la cédula",IF(LEN(C469)&lt;&gt;10,"La cédula debe tener 10 dígitos",IF(F469="","Falta el tipo de plan",IF(G469="","Falta la fecha de inicio",IF(H469="","Falta la fecha de vencimiento",IF(O469&lt;=0,"El vencimiento debe ser posterior al inicio",IF(AND(F469&lt;&gt;"DIARIO",O469&lt;21),"Duración muy corta: revisar fechas",IF(O469&gt;400,"Duración mayor a 400 días: revisar fechas",IF(I469="","Falta la forma de pago",IF(L469="","Falta el monto cobrado","OK"))))))))))))</f>
        <v/>
      </c>
    </row>
    <row r="470" customFormat="false" ht="15" hidden="false" customHeight="false" outlineLevel="0" collapsed="false">
      <c r="A470" s="18"/>
      <c r="B470" s="19"/>
      <c r="C470" s="20"/>
      <c r="D470" s="20"/>
      <c r="E470" s="19"/>
      <c r="F470" s="18"/>
      <c r="G470" s="21"/>
      <c r="H470" s="21"/>
      <c r="I470" s="18"/>
      <c r="J470" s="22"/>
      <c r="K470" s="23"/>
      <c r="L470" s="23"/>
      <c r="M470" s="24"/>
      <c r="N470" s="19"/>
      <c r="O470" s="25" t="str">
        <f aca="false">IF(OR(G470="",H470=""),"",H470-G470)</f>
        <v/>
      </c>
      <c r="P470" s="26" t="str">
        <f aca="false">IF(COUNTA(A470:N470)=0,"",IF(B470="","Falta el nombre",IF(C470="","Falta la cédula",IF(LEN(C470)&lt;&gt;10,"La cédula debe tener 10 dígitos",IF(F470="","Falta el tipo de plan",IF(G470="","Falta la fecha de inicio",IF(H470="","Falta la fecha de vencimiento",IF(O470&lt;=0,"El vencimiento debe ser posterior al inicio",IF(AND(F470&lt;&gt;"DIARIO",O470&lt;21),"Duración muy corta: revisar fechas",IF(O470&gt;400,"Duración mayor a 400 días: revisar fechas",IF(I470="","Falta la forma de pago",IF(L470="","Falta el monto cobrado","OK"))))))))))))</f>
        <v/>
      </c>
    </row>
    <row r="471" customFormat="false" ht="15" hidden="false" customHeight="false" outlineLevel="0" collapsed="false">
      <c r="A471" s="18"/>
      <c r="B471" s="19"/>
      <c r="C471" s="20"/>
      <c r="D471" s="20"/>
      <c r="E471" s="19"/>
      <c r="F471" s="18"/>
      <c r="G471" s="21"/>
      <c r="H471" s="21"/>
      <c r="I471" s="18"/>
      <c r="J471" s="22"/>
      <c r="K471" s="23"/>
      <c r="L471" s="23"/>
      <c r="M471" s="24"/>
      <c r="N471" s="19"/>
      <c r="O471" s="25" t="str">
        <f aca="false">IF(OR(G471="",H471=""),"",H471-G471)</f>
        <v/>
      </c>
      <c r="P471" s="26" t="str">
        <f aca="false">IF(COUNTA(A471:N471)=0,"",IF(B471="","Falta el nombre",IF(C471="","Falta la cédula",IF(LEN(C471)&lt;&gt;10,"La cédula debe tener 10 dígitos",IF(F471="","Falta el tipo de plan",IF(G471="","Falta la fecha de inicio",IF(H471="","Falta la fecha de vencimiento",IF(O471&lt;=0,"El vencimiento debe ser posterior al inicio",IF(AND(F471&lt;&gt;"DIARIO",O471&lt;21),"Duración muy corta: revisar fechas",IF(O471&gt;400,"Duración mayor a 400 días: revisar fechas",IF(I471="","Falta la forma de pago",IF(L471="","Falta el monto cobrado","OK"))))))))))))</f>
        <v/>
      </c>
    </row>
    <row r="472" customFormat="false" ht="15" hidden="false" customHeight="false" outlineLevel="0" collapsed="false">
      <c r="A472" s="18"/>
      <c r="B472" s="19"/>
      <c r="C472" s="20"/>
      <c r="D472" s="20"/>
      <c r="E472" s="19"/>
      <c r="F472" s="18"/>
      <c r="G472" s="21"/>
      <c r="H472" s="21"/>
      <c r="I472" s="18"/>
      <c r="J472" s="22"/>
      <c r="K472" s="23"/>
      <c r="L472" s="23"/>
      <c r="M472" s="24"/>
      <c r="N472" s="19"/>
      <c r="O472" s="25" t="str">
        <f aca="false">IF(OR(G472="",H472=""),"",H472-G472)</f>
        <v/>
      </c>
      <c r="P472" s="26" t="str">
        <f aca="false">IF(COUNTA(A472:N472)=0,"",IF(B472="","Falta el nombre",IF(C472="","Falta la cédula",IF(LEN(C472)&lt;&gt;10,"La cédula debe tener 10 dígitos",IF(F472="","Falta el tipo de plan",IF(G472="","Falta la fecha de inicio",IF(H472="","Falta la fecha de vencimiento",IF(O472&lt;=0,"El vencimiento debe ser posterior al inicio",IF(AND(F472&lt;&gt;"DIARIO",O472&lt;21),"Duración muy corta: revisar fechas",IF(O472&gt;400,"Duración mayor a 400 días: revisar fechas",IF(I472="","Falta la forma de pago",IF(L472="","Falta el monto cobrado","OK"))))))))))))</f>
        <v/>
      </c>
    </row>
    <row r="473" customFormat="false" ht="15" hidden="false" customHeight="false" outlineLevel="0" collapsed="false">
      <c r="A473" s="18"/>
      <c r="B473" s="19"/>
      <c r="C473" s="20"/>
      <c r="D473" s="20"/>
      <c r="E473" s="19"/>
      <c r="F473" s="18"/>
      <c r="G473" s="21"/>
      <c r="H473" s="21"/>
      <c r="I473" s="18"/>
      <c r="J473" s="22"/>
      <c r="K473" s="23"/>
      <c r="L473" s="23"/>
      <c r="M473" s="24"/>
      <c r="N473" s="19"/>
      <c r="O473" s="25" t="str">
        <f aca="false">IF(OR(G473="",H473=""),"",H473-G473)</f>
        <v/>
      </c>
      <c r="P473" s="26" t="str">
        <f aca="false">IF(COUNTA(A473:N473)=0,"",IF(B473="","Falta el nombre",IF(C473="","Falta la cédula",IF(LEN(C473)&lt;&gt;10,"La cédula debe tener 10 dígitos",IF(F473="","Falta el tipo de plan",IF(G473="","Falta la fecha de inicio",IF(H473="","Falta la fecha de vencimiento",IF(O473&lt;=0,"El vencimiento debe ser posterior al inicio",IF(AND(F473&lt;&gt;"DIARIO",O473&lt;21),"Duración muy corta: revisar fechas",IF(O473&gt;400,"Duración mayor a 400 días: revisar fechas",IF(I473="","Falta la forma de pago",IF(L473="","Falta el monto cobrado","OK"))))))))))))</f>
        <v/>
      </c>
    </row>
    <row r="474" customFormat="false" ht="15" hidden="false" customHeight="false" outlineLevel="0" collapsed="false">
      <c r="A474" s="18"/>
      <c r="B474" s="19"/>
      <c r="C474" s="20"/>
      <c r="D474" s="20"/>
      <c r="E474" s="19"/>
      <c r="F474" s="18"/>
      <c r="G474" s="21"/>
      <c r="H474" s="21"/>
      <c r="I474" s="18"/>
      <c r="J474" s="22"/>
      <c r="K474" s="23"/>
      <c r="L474" s="23"/>
      <c r="M474" s="24"/>
      <c r="N474" s="19"/>
      <c r="O474" s="25" t="str">
        <f aca="false">IF(OR(G474="",H474=""),"",H474-G474)</f>
        <v/>
      </c>
      <c r="P474" s="26" t="str">
        <f aca="false">IF(COUNTA(A474:N474)=0,"",IF(B474="","Falta el nombre",IF(C474="","Falta la cédula",IF(LEN(C474)&lt;&gt;10,"La cédula debe tener 10 dígitos",IF(F474="","Falta el tipo de plan",IF(G474="","Falta la fecha de inicio",IF(H474="","Falta la fecha de vencimiento",IF(O474&lt;=0,"El vencimiento debe ser posterior al inicio",IF(AND(F474&lt;&gt;"DIARIO",O474&lt;21),"Duración muy corta: revisar fechas",IF(O474&gt;400,"Duración mayor a 400 días: revisar fechas",IF(I474="","Falta la forma de pago",IF(L474="","Falta el monto cobrado","OK"))))))))))))</f>
        <v/>
      </c>
    </row>
    <row r="475" customFormat="false" ht="15" hidden="false" customHeight="false" outlineLevel="0" collapsed="false">
      <c r="A475" s="18"/>
      <c r="B475" s="19"/>
      <c r="C475" s="20"/>
      <c r="D475" s="20"/>
      <c r="E475" s="19"/>
      <c r="F475" s="18"/>
      <c r="G475" s="21"/>
      <c r="H475" s="21"/>
      <c r="I475" s="18"/>
      <c r="J475" s="22"/>
      <c r="K475" s="23"/>
      <c r="L475" s="23"/>
      <c r="M475" s="24"/>
      <c r="N475" s="19"/>
      <c r="O475" s="25" t="str">
        <f aca="false">IF(OR(G475="",H475=""),"",H475-G475)</f>
        <v/>
      </c>
      <c r="P475" s="26" t="str">
        <f aca="false">IF(COUNTA(A475:N475)=0,"",IF(B475="","Falta el nombre",IF(C475="","Falta la cédula",IF(LEN(C475)&lt;&gt;10,"La cédula debe tener 10 dígitos",IF(F475="","Falta el tipo de plan",IF(G475="","Falta la fecha de inicio",IF(H475="","Falta la fecha de vencimiento",IF(O475&lt;=0,"El vencimiento debe ser posterior al inicio",IF(AND(F475&lt;&gt;"DIARIO",O475&lt;21),"Duración muy corta: revisar fechas",IF(O475&gt;400,"Duración mayor a 400 días: revisar fechas",IF(I475="","Falta la forma de pago",IF(L475="","Falta el monto cobrado","OK"))))))))))))</f>
        <v/>
      </c>
    </row>
    <row r="476" customFormat="false" ht="15" hidden="false" customHeight="false" outlineLevel="0" collapsed="false">
      <c r="A476" s="18"/>
      <c r="B476" s="19"/>
      <c r="C476" s="20"/>
      <c r="D476" s="20"/>
      <c r="E476" s="19"/>
      <c r="F476" s="18"/>
      <c r="G476" s="21"/>
      <c r="H476" s="21"/>
      <c r="I476" s="18"/>
      <c r="J476" s="22"/>
      <c r="K476" s="23"/>
      <c r="L476" s="23"/>
      <c r="M476" s="24"/>
      <c r="N476" s="19"/>
      <c r="O476" s="25" t="str">
        <f aca="false">IF(OR(G476="",H476=""),"",H476-G476)</f>
        <v/>
      </c>
      <c r="P476" s="26" t="str">
        <f aca="false">IF(COUNTA(A476:N476)=0,"",IF(B476="","Falta el nombre",IF(C476="","Falta la cédula",IF(LEN(C476)&lt;&gt;10,"La cédula debe tener 10 dígitos",IF(F476="","Falta el tipo de plan",IF(G476="","Falta la fecha de inicio",IF(H476="","Falta la fecha de vencimiento",IF(O476&lt;=0,"El vencimiento debe ser posterior al inicio",IF(AND(F476&lt;&gt;"DIARIO",O476&lt;21),"Duración muy corta: revisar fechas",IF(O476&gt;400,"Duración mayor a 400 días: revisar fechas",IF(I476="","Falta la forma de pago",IF(L476="","Falta el monto cobrado","OK"))))))))))))</f>
        <v/>
      </c>
    </row>
    <row r="477" customFormat="false" ht="15" hidden="false" customHeight="false" outlineLevel="0" collapsed="false">
      <c r="A477" s="18"/>
      <c r="B477" s="19"/>
      <c r="C477" s="20"/>
      <c r="D477" s="20"/>
      <c r="E477" s="19"/>
      <c r="F477" s="18"/>
      <c r="G477" s="21"/>
      <c r="H477" s="21"/>
      <c r="I477" s="18"/>
      <c r="J477" s="22"/>
      <c r="K477" s="23"/>
      <c r="L477" s="23"/>
      <c r="M477" s="24"/>
      <c r="N477" s="19"/>
      <c r="O477" s="25" t="str">
        <f aca="false">IF(OR(G477="",H477=""),"",H477-G477)</f>
        <v/>
      </c>
      <c r="P477" s="26" t="str">
        <f aca="false">IF(COUNTA(A477:N477)=0,"",IF(B477="","Falta el nombre",IF(C477="","Falta la cédula",IF(LEN(C477)&lt;&gt;10,"La cédula debe tener 10 dígitos",IF(F477="","Falta el tipo de plan",IF(G477="","Falta la fecha de inicio",IF(H477="","Falta la fecha de vencimiento",IF(O477&lt;=0,"El vencimiento debe ser posterior al inicio",IF(AND(F477&lt;&gt;"DIARIO",O477&lt;21),"Duración muy corta: revisar fechas",IF(O477&gt;400,"Duración mayor a 400 días: revisar fechas",IF(I477="","Falta la forma de pago",IF(L477="","Falta el monto cobrado","OK"))))))))))))</f>
        <v/>
      </c>
    </row>
    <row r="478" customFormat="false" ht="15" hidden="false" customHeight="false" outlineLevel="0" collapsed="false">
      <c r="A478" s="18"/>
      <c r="B478" s="19"/>
      <c r="C478" s="20"/>
      <c r="D478" s="20"/>
      <c r="E478" s="19"/>
      <c r="F478" s="18"/>
      <c r="G478" s="21"/>
      <c r="H478" s="21"/>
      <c r="I478" s="18"/>
      <c r="J478" s="22"/>
      <c r="K478" s="23"/>
      <c r="L478" s="23"/>
      <c r="M478" s="24"/>
      <c r="N478" s="19"/>
      <c r="O478" s="25" t="str">
        <f aca="false">IF(OR(G478="",H478=""),"",H478-G478)</f>
        <v/>
      </c>
      <c r="P478" s="26" t="str">
        <f aca="false">IF(COUNTA(A478:N478)=0,"",IF(B478="","Falta el nombre",IF(C478="","Falta la cédula",IF(LEN(C478)&lt;&gt;10,"La cédula debe tener 10 dígitos",IF(F478="","Falta el tipo de plan",IF(G478="","Falta la fecha de inicio",IF(H478="","Falta la fecha de vencimiento",IF(O478&lt;=0,"El vencimiento debe ser posterior al inicio",IF(AND(F478&lt;&gt;"DIARIO",O478&lt;21),"Duración muy corta: revisar fechas",IF(O478&gt;400,"Duración mayor a 400 días: revisar fechas",IF(I478="","Falta la forma de pago",IF(L478="","Falta el monto cobrado","OK"))))))))))))</f>
        <v/>
      </c>
    </row>
    <row r="479" customFormat="false" ht="15" hidden="false" customHeight="false" outlineLevel="0" collapsed="false">
      <c r="A479" s="18"/>
      <c r="B479" s="19"/>
      <c r="C479" s="20"/>
      <c r="D479" s="20"/>
      <c r="E479" s="19"/>
      <c r="F479" s="18"/>
      <c r="G479" s="21"/>
      <c r="H479" s="21"/>
      <c r="I479" s="18"/>
      <c r="J479" s="22"/>
      <c r="K479" s="23"/>
      <c r="L479" s="23"/>
      <c r="M479" s="24"/>
      <c r="N479" s="19"/>
      <c r="O479" s="25" t="str">
        <f aca="false">IF(OR(G479="",H479=""),"",H479-G479)</f>
        <v/>
      </c>
      <c r="P479" s="26" t="str">
        <f aca="false">IF(COUNTA(A479:N479)=0,"",IF(B479="","Falta el nombre",IF(C479="","Falta la cédula",IF(LEN(C479)&lt;&gt;10,"La cédula debe tener 10 dígitos",IF(F479="","Falta el tipo de plan",IF(G479="","Falta la fecha de inicio",IF(H479="","Falta la fecha de vencimiento",IF(O479&lt;=0,"El vencimiento debe ser posterior al inicio",IF(AND(F479&lt;&gt;"DIARIO",O479&lt;21),"Duración muy corta: revisar fechas",IF(O479&gt;400,"Duración mayor a 400 días: revisar fechas",IF(I479="","Falta la forma de pago",IF(L479="","Falta el monto cobrado","OK"))))))))))))</f>
        <v/>
      </c>
    </row>
    <row r="480" customFormat="false" ht="15" hidden="false" customHeight="false" outlineLevel="0" collapsed="false">
      <c r="A480" s="18"/>
      <c r="B480" s="19"/>
      <c r="C480" s="20"/>
      <c r="D480" s="20"/>
      <c r="E480" s="19"/>
      <c r="F480" s="18"/>
      <c r="G480" s="21"/>
      <c r="H480" s="21"/>
      <c r="I480" s="18"/>
      <c r="J480" s="22"/>
      <c r="K480" s="23"/>
      <c r="L480" s="23"/>
      <c r="M480" s="24"/>
      <c r="N480" s="19"/>
      <c r="O480" s="25" t="str">
        <f aca="false">IF(OR(G480="",H480=""),"",H480-G480)</f>
        <v/>
      </c>
      <c r="P480" s="26" t="str">
        <f aca="false">IF(COUNTA(A480:N480)=0,"",IF(B480="","Falta el nombre",IF(C480="","Falta la cédula",IF(LEN(C480)&lt;&gt;10,"La cédula debe tener 10 dígitos",IF(F480="","Falta el tipo de plan",IF(G480="","Falta la fecha de inicio",IF(H480="","Falta la fecha de vencimiento",IF(O480&lt;=0,"El vencimiento debe ser posterior al inicio",IF(AND(F480&lt;&gt;"DIARIO",O480&lt;21),"Duración muy corta: revisar fechas",IF(O480&gt;400,"Duración mayor a 400 días: revisar fechas",IF(I480="","Falta la forma de pago",IF(L480="","Falta el monto cobrado","OK"))))))))))))</f>
        <v/>
      </c>
    </row>
    <row r="481" customFormat="false" ht="15" hidden="false" customHeight="false" outlineLevel="0" collapsed="false">
      <c r="A481" s="18"/>
      <c r="B481" s="19"/>
      <c r="C481" s="20"/>
      <c r="D481" s="20"/>
      <c r="E481" s="19"/>
      <c r="F481" s="18"/>
      <c r="G481" s="21"/>
      <c r="H481" s="21"/>
      <c r="I481" s="18"/>
      <c r="J481" s="22"/>
      <c r="K481" s="23"/>
      <c r="L481" s="23"/>
      <c r="M481" s="24"/>
      <c r="N481" s="19"/>
      <c r="O481" s="25" t="str">
        <f aca="false">IF(OR(G481="",H481=""),"",H481-G481)</f>
        <v/>
      </c>
      <c r="P481" s="26" t="str">
        <f aca="false">IF(COUNTA(A481:N481)=0,"",IF(B481="","Falta el nombre",IF(C481="","Falta la cédula",IF(LEN(C481)&lt;&gt;10,"La cédula debe tener 10 dígitos",IF(F481="","Falta el tipo de plan",IF(G481="","Falta la fecha de inicio",IF(H481="","Falta la fecha de vencimiento",IF(O481&lt;=0,"El vencimiento debe ser posterior al inicio",IF(AND(F481&lt;&gt;"DIARIO",O481&lt;21),"Duración muy corta: revisar fechas",IF(O481&gt;400,"Duración mayor a 400 días: revisar fechas",IF(I481="","Falta la forma de pago",IF(L481="","Falta el monto cobrado","OK"))))))))))))</f>
        <v/>
      </c>
    </row>
    <row r="482" customFormat="false" ht="15" hidden="false" customHeight="false" outlineLevel="0" collapsed="false">
      <c r="A482" s="18"/>
      <c r="B482" s="19"/>
      <c r="C482" s="20"/>
      <c r="D482" s="20"/>
      <c r="E482" s="19"/>
      <c r="F482" s="18"/>
      <c r="G482" s="21"/>
      <c r="H482" s="21"/>
      <c r="I482" s="18"/>
      <c r="J482" s="22"/>
      <c r="K482" s="23"/>
      <c r="L482" s="23"/>
      <c r="M482" s="24"/>
      <c r="N482" s="19"/>
      <c r="O482" s="25" t="str">
        <f aca="false">IF(OR(G482="",H482=""),"",H482-G482)</f>
        <v/>
      </c>
      <c r="P482" s="26" t="str">
        <f aca="false">IF(COUNTA(A482:N482)=0,"",IF(B482="","Falta el nombre",IF(C482="","Falta la cédula",IF(LEN(C482)&lt;&gt;10,"La cédula debe tener 10 dígitos",IF(F482="","Falta el tipo de plan",IF(G482="","Falta la fecha de inicio",IF(H482="","Falta la fecha de vencimiento",IF(O482&lt;=0,"El vencimiento debe ser posterior al inicio",IF(AND(F482&lt;&gt;"DIARIO",O482&lt;21),"Duración muy corta: revisar fechas",IF(O482&gt;400,"Duración mayor a 400 días: revisar fechas",IF(I482="","Falta la forma de pago",IF(L482="","Falta el monto cobrado","OK"))))))))))))</f>
        <v/>
      </c>
    </row>
    <row r="483" customFormat="false" ht="15" hidden="false" customHeight="false" outlineLevel="0" collapsed="false">
      <c r="A483" s="18"/>
      <c r="B483" s="19"/>
      <c r="C483" s="20"/>
      <c r="D483" s="20"/>
      <c r="E483" s="19"/>
      <c r="F483" s="18"/>
      <c r="G483" s="21"/>
      <c r="H483" s="21"/>
      <c r="I483" s="18"/>
      <c r="J483" s="22"/>
      <c r="K483" s="23"/>
      <c r="L483" s="23"/>
      <c r="M483" s="24"/>
      <c r="N483" s="19"/>
      <c r="O483" s="25" t="str">
        <f aca="false">IF(OR(G483="",H483=""),"",H483-G483)</f>
        <v/>
      </c>
      <c r="P483" s="26" t="str">
        <f aca="false">IF(COUNTA(A483:N483)=0,"",IF(B483="","Falta el nombre",IF(C483="","Falta la cédula",IF(LEN(C483)&lt;&gt;10,"La cédula debe tener 10 dígitos",IF(F483="","Falta el tipo de plan",IF(G483="","Falta la fecha de inicio",IF(H483="","Falta la fecha de vencimiento",IF(O483&lt;=0,"El vencimiento debe ser posterior al inicio",IF(AND(F483&lt;&gt;"DIARIO",O483&lt;21),"Duración muy corta: revisar fechas",IF(O483&gt;400,"Duración mayor a 400 días: revisar fechas",IF(I483="","Falta la forma de pago",IF(L483="","Falta el monto cobrado","OK"))))))))))))</f>
        <v/>
      </c>
    </row>
    <row r="484" customFormat="false" ht="15" hidden="false" customHeight="false" outlineLevel="0" collapsed="false">
      <c r="A484" s="18"/>
      <c r="B484" s="19"/>
      <c r="C484" s="20"/>
      <c r="D484" s="20"/>
      <c r="E484" s="19"/>
      <c r="F484" s="18"/>
      <c r="G484" s="21"/>
      <c r="H484" s="21"/>
      <c r="I484" s="18"/>
      <c r="J484" s="22"/>
      <c r="K484" s="23"/>
      <c r="L484" s="23"/>
      <c r="M484" s="24"/>
      <c r="N484" s="19"/>
      <c r="O484" s="25" t="str">
        <f aca="false">IF(OR(G484="",H484=""),"",H484-G484)</f>
        <v/>
      </c>
      <c r="P484" s="26" t="str">
        <f aca="false">IF(COUNTA(A484:N484)=0,"",IF(B484="","Falta el nombre",IF(C484="","Falta la cédula",IF(LEN(C484)&lt;&gt;10,"La cédula debe tener 10 dígitos",IF(F484="","Falta el tipo de plan",IF(G484="","Falta la fecha de inicio",IF(H484="","Falta la fecha de vencimiento",IF(O484&lt;=0,"El vencimiento debe ser posterior al inicio",IF(AND(F484&lt;&gt;"DIARIO",O484&lt;21),"Duración muy corta: revisar fechas",IF(O484&gt;400,"Duración mayor a 400 días: revisar fechas",IF(I484="","Falta la forma de pago",IF(L484="","Falta el monto cobrado","OK"))))))))))))</f>
        <v/>
      </c>
    </row>
    <row r="485" customFormat="false" ht="15" hidden="false" customHeight="false" outlineLevel="0" collapsed="false">
      <c r="A485" s="18"/>
      <c r="B485" s="19"/>
      <c r="C485" s="20"/>
      <c r="D485" s="20"/>
      <c r="E485" s="19"/>
      <c r="F485" s="18"/>
      <c r="G485" s="21"/>
      <c r="H485" s="21"/>
      <c r="I485" s="18"/>
      <c r="J485" s="22"/>
      <c r="K485" s="23"/>
      <c r="L485" s="23"/>
      <c r="M485" s="24"/>
      <c r="N485" s="19"/>
      <c r="O485" s="25" t="str">
        <f aca="false">IF(OR(G485="",H485=""),"",H485-G485)</f>
        <v/>
      </c>
      <c r="P485" s="26" t="str">
        <f aca="false">IF(COUNTA(A485:N485)=0,"",IF(B485="","Falta el nombre",IF(C485="","Falta la cédula",IF(LEN(C485)&lt;&gt;10,"La cédula debe tener 10 dígitos",IF(F485="","Falta el tipo de plan",IF(G485="","Falta la fecha de inicio",IF(H485="","Falta la fecha de vencimiento",IF(O485&lt;=0,"El vencimiento debe ser posterior al inicio",IF(AND(F485&lt;&gt;"DIARIO",O485&lt;21),"Duración muy corta: revisar fechas",IF(O485&gt;400,"Duración mayor a 400 días: revisar fechas",IF(I485="","Falta la forma de pago",IF(L485="","Falta el monto cobrado","OK"))))))))))))</f>
        <v/>
      </c>
    </row>
    <row r="486" customFormat="false" ht="15" hidden="false" customHeight="false" outlineLevel="0" collapsed="false">
      <c r="A486" s="18"/>
      <c r="B486" s="19"/>
      <c r="C486" s="20"/>
      <c r="D486" s="20"/>
      <c r="E486" s="19"/>
      <c r="F486" s="18"/>
      <c r="G486" s="21"/>
      <c r="H486" s="21"/>
      <c r="I486" s="18"/>
      <c r="J486" s="22"/>
      <c r="K486" s="23"/>
      <c r="L486" s="23"/>
      <c r="M486" s="24"/>
      <c r="N486" s="19"/>
      <c r="O486" s="25" t="str">
        <f aca="false">IF(OR(G486="",H486=""),"",H486-G486)</f>
        <v/>
      </c>
      <c r="P486" s="26" t="str">
        <f aca="false">IF(COUNTA(A486:N486)=0,"",IF(B486="","Falta el nombre",IF(C486="","Falta la cédula",IF(LEN(C486)&lt;&gt;10,"La cédula debe tener 10 dígitos",IF(F486="","Falta el tipo de plan",IF(G486="","Falta la fecha de inicio",IF(H486="","Falta la fecha de vencimiento",IF(O486&lt;=0,"El vencimiento debe ser posterior al inicio",IF(AND(F486&lt;&gt;"DIARIO",O486&lt;21),"Duración muy corta: revisar fechas",IF(O486&gt;400,"Duración mayor a 400 días: revisar fechas",IF(I486="","Falta la forma de pago",IF(L486="","Falta el monto cobrado","OK"))))))))))))</f>
        <v/>
      </c>
    </row>
    <row r="487" customFormat="false" ht="15" hidden="false" customHeight="false" outlineLevel="0" collapsed="false">
      <c r="A487" s="18"/>
      <c r="B487" s="19"/>
      <c r="C487" s="20"/>
      <c r="D487" s="20"/>
      <c r="E487" s="19"/>
      <c r="F487" s="18"/>
      <c r="G487" s="21"/>
      <c r="H487" s="21"/>
      <c r="I487" s="18"/>
      <c r="J487" s="22"/>
      <c r="K487" s="23"/>
      <c r="L487" s="23"/>
      <c r="M487" s="24"/>
      <c r="N487" s="19"/>
      <c r="O487" s="25" t="str">
        <f aca="false">IF(OR(G487="",H487=""),"",H487-G487)</f>
        <v/>
      </c>
      <c r="P487" s="26" t="str">
        <f aca="false">IF(COUNTA(A487:N487)=0,"",IF(B487="","Falta el nombre",IF(C487="","Falta la cédula",IF(LEN(C487)&lt;&gt;10,"La cédula debe tener 10 dígitos",IF(F487="","Falta el tipo de plan",IF(G487="","Falta la fecha de inicio",IF(H487="","Falta la fecha de vencimiento",IF(O487&lt;=0,"El vencimiento debe ser posterior al inicio",IF(AND(F487&lt;&gt;"DIARIO",O487&lt;21),"Duración muy corta: revisar fechas",IF(O487&gt;400,"Duración mayor a 400 días: revisar fechas",IF(I487="","Falta la forma de pago",IF(L487="","Falta el monto cobrado","OK"))))))))))))</f>
        <v/>
      </c>
    </row>
    <row r="488" customFormat="false" ht="15" hidden="false" customHeight="false" outlineLevel="0" collapsed="false">
      <c r="A488" s="18"/>
      <c r="B488" s="19"/>
      <c r="C488" s="20"/>
      <c r="D488" s="20"/>
      <c r="E488" s="19"/>
      <c r="F488" s="18"/>
      <c r="G488" s="21"/>
      <c r="H488" s="21"/>
      <c r="I488" s="18"/>
      <c r="J488" s="22"/>
      <c r="K488" s="23"/>
      <c r="L488" s="23"/>
      <c r="M488" s="24"/>
      <c r="N488" s="19"/>
      <c r="O488" s="25" t="str">
        <f aca="false">IF(OR(G488="",H488=""),"",H488-G488)</f>
        <v/>
      </c>
      <c r="P488" s="26" t="str">
        <f aca="false">IF(COUNTA(A488:N488)=0,"",IF(B488="","Falta el nombre",IF(C488="","Falta la cédula",IF(LEN(C488)&lt;&gt;10,"La cédula debe tener 10 dígitos",IF(F488="","Falta el tipo de plan",IF(G488="","Falta la fecha de inicio",IF(H488="","Falta la fecha de vencimiento",IF(O488&lt;=0,"El vencimiento debe ser posterior al inicio",IF(AND(F488&lt;&gt;"DIARIO",O488&lt;21),"Duración muy corta: revisar fechas",IF(O488&gt;400,"Duración mayor a 400 días: revisar fechas",IF(I488="","Falta la forma de pago",IF(L488="","Falta el monto cobrado","OK"))))))))))))</f>
        <v/>
      </c>
    </row>
    <row r="489" customFormat="false" ht="15" hidden="false" customHeight="false" outlineLevel="0" collapsed="false">
      <c r="A489" s="18"/>
      <c r="B489" s="19"/>
      <c r="C489" s="20"/>
      <c r="D489" s="20"/>
      <c r="E489" s="19"/>
      <c r="F489" s="18"/>
      <c r="G489" s="21"/>
      <c r="H489" s="21"/>
      <c r="I489" s="18"/>
      <c r="J489" s="22"/>
      <c r="K489" s="23"/>
      <c r="L489" s="23"/>
      <c r="M489" s="24"/>
      <c r="N489" s="19"/>
      <c r="O489" s="25" t="str">
        <f aca="false">IF(OR(G489="",H489=""),"",H489-G489)</f>
        <v/>
      </c>
      <c r="P489" s="26" t="str">
        <f aca="false">IF(COUNTA(A489:N489)=0,"",IF(B489="","Falta el nombre",IF(C489="","Falta la cédula",IF(LEN(C489)&lt;&gt;10,"La cédula debe tener 10 dígitos",IF(F489="","Falta el tipo de plan",IF(G489="","Falta la fecha de inicio",IF(H489="","Falta la fecha de vencimiento",IF(O489&lt;=0,"El vencimiento debe ser posterior al inicio",IF(AND(F489&lt;&gt;"DIARIO",O489&lt;21),"Duración muy corta: revisar fechas",IF(O489&gt;400,"Duración mayor a 400 días: revisar fechas",IF(I489="","Falta la forma de pago",IF(L489="","Falta el monto cobrado","OK"))))))))))))</f>
        <v/>
      </c>
    </row>
    <row r="490" customFormat="false" ht="15" hidden="false" customHeight="false" outlineLevel="0" collapsed="false">
      <c r="A490" s="18"/>
      <c r="B490" s="19"/>
      <c r="C490" s="20"/>
      <c r="D490" s="20"/>
      <c r="E490" s="19"/>
      <c r="F490" s="18"/>
      <c r="G490" s="21"/>
      <c r="H490" s="21"/>
      <c r="I490" s="18"/>
      <c r="J490" s="22"/>
      <c r="K490" s="23"/>
      <c r="L490" s="23"/>
      <c r="M490" s="24"/>
      <c r="N490" s="19"/>
      <c r="O490" s="25" t="str">
        <f aca="false">IF(OR(G490="",H490=""),"",H490-G490)</f>
        <v/>
      </c>
      <c r="P490" s="26" t="str">
        <f aca="false">IF(COUNTA(A490:N490)=0,"",IF(B490="","Falta el nombre",IF(C490="","Falta la cédula",IF(LEN(C490)&lt;&gt;10,"La cédula debe tener 10 dígitos",IF(F490="","Falta el tipo de plan",IF(G490="","Falta la fecha de inicio",IF(H490="","Falta la fecha de vencimiento",IF(O490&lt;=0,"El vencimiento debe ser posterior al inicio",IF(AND(F490&lt;&gt;"DIARIO",O490&lt;21),"Duración muy corta: revisar fechas",IF(O490&gt;400,"Duración mayor a 400 días: revisar fechas",IF(I490="","Falta la forma de pago",IF(L490="","Falta el monto cobrado","OK"))))))))))))</f>
        <v/>
      </c>
    </row>
    <row r="491" customFormat="false" ht="15" hidden="false" customHeight="false" outlineLevel="0" collapsed="false">
      <c r="A491" s="18"/>
      <c r="B491" s="19"/>
      <c r="C491" s="20"/>
      <c r="D491" s="20"/>
      <c r="E491" s="19"/>
      <c r="F491" s="18"/>
      <c r="G491" s="21"/>
      <c r="H491" s="21"/>
      <c r="I491" s="18"/>
      <c r="J491" s="22"/>
      <c r="K491" s="23"/>
      <c r="L491" s="23"/>
      <c r="M491" s="24"/>
      <c r="N491" s="19"/>
      <c r="O491" s="25" t="str">
        <f aca="false">IF(OR(G491="",H491=""),"",H491-G491)</f>
        <v/>
      </c>
      <c r="P491" s="26" t="str">
        <f aca="false">IF(COUNTA(A491:N491)=0,"",IF(B491="","Falta el nombre",IF(C491="","Falta la cédula",IF(LEN(C491)&lt;&gt;10,"La cédula debe tener 10 dígitos",IF(F491="","Falta el tipo de plan",IF(G491="","Falta la fecha de inicio",IF(H491="","Falta la fecha de vencimiento",IF(O491&lt;=0,"El vencimiento debe ser posterior al inicio",IF(AND(F491&lt;&gt;"DIARIO",O491&lt;21),"Duración muy corta: revisar fechas",IF(O491&gt;400,"Duración mayor a 400 días: revisar fechas",IF(I491="","Falta la forma de pago",IF(L491="","Falta el monto cobrado","OK"))))))))))))</f>
        <v/>
      </c>
    </row>
    <row r="492" customFormat="false" ht="15" hidden="false" customHeight="false" outlineLevel="0" collapsed="false">
      <c r="A492" s="18"/>
      <c r="B492" s="19"/>
      <c r="C492" s="20"/>
      <c r="D492" s="20"/>
      <c r="E492" s="19"/>
      <c r="F492" s="18"/>
      <c r="G492" s="21"/>
      <c r="H492" s="21"/>
      <c r="I492" s="18"/>
      <c r="J492" s="22"/>
      <c r="K492" s="23"/>
      <c r="L492" s="23"/>
      <c r="M492" s="24"/>
      <c r="N492" s="19"/>
      <c r="O492" s="25" t="str">
        <f aca="false">IF(OR(G492="",H492=""),"",H492-G492)</f>
        <v/>
      </c>
      <c r="P492" s="26" t="str">
        <f aca="false">IF(COUNTA(A492:N492)=0,"",IF(B492="","Falta el nombre",IF(C492="","Falta la cédula",IF(LEN(C492)&lt;&gt;10,"La cédula debe tener 10 dígitos",IF(F492="","Falta el tipo de plan",IF(G492="","Falta la fecha de inicio",IF(H492="","Falta la fecha de vencimiento",IF(O492&lt;=0,"El vencimiento debe ser posterior al inicio",IF(AND(F492&lt;&gt;"DIARIO",O492&lt;21),"Duración muy corta: revisar fechas",IF(O492&gt;400,"Duración mayor a 400 días: revisar fechas",IF(I492="","Falta la forma de pago",IF(L492="","Falta el monto cobrado","OK"))))))))))))</f>
        <v/>
      </c>
    </row>
    <row r="493" customFormat="false" ht="15" hidden="false" customHeight="false" outlineLevel="0" collapsed="false">
      <c r="A493" s="18"/>
      <c r="B493" s="19"/>
      <c r="C493" s="20"/>
      <c r="D493" s="20"/>
      <c r="E493" s="19"/>
      <c r="F493" s="18"/>
      <c r="G493" s="21"/>
      <c r="H493" s="21"/>
      <c r="I493" s="18"/>
      <c r="J493" s="22"/>
      <c r="K493" s="23"/>
      <c r="L493" s="23"/>
      <c r="M493" s="24"/>
      <c r="N493" s="19"/>
      <c r="O493" s="25" t="str">
        <f aca="false">IF(OR(G493="",H493=""),"",H493-G493)</f>
        <v/>
      </c>
      <c r="P493" s="26" t="str">
        <f aca="false">IF(COUNTA(A493:N493)=0,"",IF(B493="","Falta el nombre",IF(C493="","Falta la cédula",IF(LEN(C493)&lt;&gt;10,"La cédula debe tener 10 dígitos",IF(F493="","Falta el tipo de plan",IF(G493="","Falta la fecha de inicio",IF(H493="","Falta la fecha de vencimiento",IF(O493&lt;=0,"El vencimiento debe ser posterior al inicio",IF(AND(F493&lt;&gt;"DIARIO",O493&lt;21),"Duración muy corta: revisar fechas",IF(O493&gt;400,"Duración mayor a 400 días: revisar fechas",IF(I493="","Falta la forma de pago",IF(L493="","Falta el monto cobrado","OK"))))))))))))</f>
        <v/>
      </c>
    </row>
    <row r="494" customFormat="false" ht="15" hidden="false" customHeight="false" outlineLevel="0" collapsed="false">
      <c r="A494" s="18"/>
      <c r="B494" s="19"/>
      <c r="C494" s="20"/>
      <c r="D494" s="20"/>
      <c r="E494" s="19"/>
      <c r="F494" s="18"/>
      <c r="G494" s="21"/>
      <c r="H494" s="21"/>
      <c r="I494" s="18"/>
      <c r="J494" s="22"/>
      <c r="K494" s="23"/>
      <c r="L494" s="23"/>
      <c r="M494" s="24"/>
      <c r="N494" s="19"/>
      <c r="O494" s="25" t="str">
        <f aca="false">IF(OR(G494="",H494=""),"",H494-G494)</f>
        <v/>
      </c>
      <c r="P494" s="26" t="str">
        <f aca="false">IF(COUNTA(A494:N494)=0,"",IF(B494="","Falta el nombre",IF(C494="","Falta la cédula",IF(LEN(C494)&lt;&gt;10,"La cédula debe tener 10 dígitos",IF(F494="","Falta el tipo de plan",IF(G494="","Falta la fecha de inicio",IF(H494="","Falta la fecha de vencimiento",IF(O494&lt;=0,"El vencimiento debe ser posterior al inicio",IF(AND(F494&lt;&gt;"DIARIO",O494&lt;21),"Duración muy corta: revisar fechas",IF(O494&gt;400,"Duración mayor a 400 días: revisar fechas",IF(I494="","Falta la forma de pago",IF(L494="","Falta el monto cobrado","OK"))))))))))))</f>
        <v/>
      </c>
    </row>
    <row r="495" customFormat="false" ht="15" hidden="false" customHeight="false" outlineLevel="0" collapsed="false">
      <c r="A495" s="18"/>
      <c r="B495" s="19"/>
      <c r="C495" s="20"/>
      <c r="D495" s="20"/>
      <c r="E495" s="19"/>
      <c r="F495" s="18"/>
      <c r="G495" s="21"/>
      <c r="H495" s="21"/>
      <c r="I495" s="18"/>
      <c r="J495" s="22"/>
      <c r="K495" s="23"/>
      <c r="L495" s="23"/>
      <c r="M495" s="24"/>
      <c r="N495" s="19"/>
      <c r="O495" s="25" t="str">
        <f aca="false">IF(OR(G495="",H495=""),"",H495-G495)</f>
        <v/>
      </c>
      <c r="P495" s="26" t="str">
        <f aca="false">IF(COUNTA(A495:N495)=0,"",IF(B495="","Falta el nombre",IF(C495="","Falta la cédula",IF(LEN(C495)&lt;&gt;10,"La cédula debe tener 10 dígitos",IF(F495="","Falta el tipo de plan",IF(G495="","Falta la fecha de inicio",IF(H495="","Falta la fecha de vencimiento",IF(O495&lt;=0,"El vencimiento debe ser posterior al inicio",IF(AND(F495&lt;&gt;"DIARIO",O495&lt;21),"Duración muy corta: revisar fechas",IF(O495&gt;400,"Duración mayor a 400 días: revisar fechas",IF(I495="","Falta la forma de pago",IF(L495="","Falta el monto cobrado","OK"))))))))))))</f>
        <v/>
      </c>
    </row>
    <row r="496" customFormat="false" ht="15" hidden="false" customHeight="false" outlineLevel="0" collapsed="false">
      <c r="A496" s="18"/>
      <c r="B496" s="19"/>
      <c r="C496" s="20"/>
      <c r="D496" s="20"/>
      <c r="E496" s="19"/>
      <c r="F496" s="18"/>
      <c r="G496" s="21"/>
      <c r="H496" s="21"/>
      <c r="I496" s="18"/>
      <c r="J496" s="22"/>
      <c r="K496" s="23"/>
      <c r="L496" s="23"/>
      <c r="M496" s="24"/>
      <c r="N496" s="19"/>
      <c r="O496" s="25" t="str">
        <f aca="false">IF(OR(G496="",H496=""),"",H496-G496)</f>
        <v/>
      </c>
      <c r="P496" s="26" t="str">
        <f aca="false">IF(COUNTA(A496:N496)=0,"",IF(B496="","Falta el nombre",IF(C496="","Falta la cédula",IF(LEN(C496)&lt;&gt;10,"La cédula debe tener 10 dígitos",IF(F496="","Falta el tipo de plan",IF(G496="","Falta la fecha de inicio",IF(H496="","Falta la fecha de vencimiento",IF(O496&lt;=0,"El vencimiento debe ser posterior al inicio",IF(AND(F496&lt;&gt;"DIARIO",O496&lt;21),"Duración muy corta: revisar fechas",IF(O496&gt;400,"Duración mayor a 400 días: revisar fechas",IF(I496="","Falta la forma de pago",IF(L496="","Falta el monto cobrado","OK"))))))))))))</f>
        <v/>
      </c>
    </row>
    <row r="497" customFormat="false" ht="15" hidden="false" customHeight="false" outlineLevel="0" collapsed="false">
      <c r="A497" s="18"/>
      <c r="B497" s="19"/>
      <c r="C497" s="20"/>
      <c r="D497" s="20"/>
      <c r="E497" s="19"/>
      <c r="F497" s="18"/>
      <c r="G497" s="21"/>
      <c r="H497" s="21"/>
      <c r="I497" s="18"/>
      <c r="J497" s="22"/>
      <c r="K497" s="23"/>
      <c r="L497" s="23"/>
      <c r="M497" s="24"/>
      <c r="N497" s="19"/>
      <c r="O497" s="25" t="str">
        <f aca="false">IF(OR(G497="",H497=""),"",H497-G497)</f>
        <v/>
      </c>
      <c r="P497" s="26" t="str">
        <f aca="false">IF(COUNTA(A497:N497)=0,"",IF(B497="","Falta el nombre",IF(C497="","Falta la cédula",IF(LEN(C497)&lt;&gt;10,"La cédula debe tener 10 dígitos",IF(F497="","Falta el tipo de plan",IF(G497="","Falta la fecha de inicio",IF(H497="","Falta la fecha de vencimiento",IF(O497&lt;=0,"El vencimiento debe ser posterior al inicio",IF(AND(F497&lt;&gt;"DIARIO",O497&lt;21),"Duración muy corta: revisar fechas",IF(O497&gt;400,"Duración mayor a 400 días: revisar fechas",IF(I497="","Falta la forma de pago",IF(L497="","Falta el monto cobrado","OK"))))))))))))</f>
        <v/>
      </c>
    </row>
    <row r="498" customFormat="false" ht="15" hidden="false" customHeight="false" outlineLevel="0" collapsed="false">
      <c r="A498" s="18"/>
      <c r="B498" s="19"/>
      <c r="C498" s="20"/>
      <c r="D498" s="20"/>
      <c r="E498" s="19"/>
      <c r="F498" s="18"/>
      <c r="G498" s="21"/>
      <c r="H498" s="21"/>
      <c r="I498" s="18"/>
      <c r="J498" s="22"/>
      <c r="K498" s="23"/>
      <c r="L498" s="23"/>
      <c r="M498" s="24"/>
      <c r="N498" s="19"/>
      <c r="O498" s="25" t="str">
        <f aca="false">IF(OR(G498="",H498=""),"",H498-G498)</f>
        <v/>
      </c>
      <c r="P498" s="26" t="str">
        <f aca="false">IF(COUNTA(A498:N498)=0,"",IF(B498="","Falta el nombre",IF(C498="","Falta la cédula",IF(LEN(C498)&lt;&gt;10,"La cédula debe tener 10 dígitos",IF(F498="","Falta el tipo de plan",IF(G498="","Falta la fecha de inicio",IF(H498="","Falta la fecha de vencimiento",IF(O498&lt;=0,"El vencimiento debe ser posterior al inicio",IF(AND(F498&lt;&gt;"DIARIO",O498&lt;21),"Duración muy corta: revisar fechas",IF(O498&gt;400,"Duración mayor a 400 días: revisar fechas",IF(I498="","Falta la forma de pago",IF(L498="","Falta el monto cobrado","OK"))))))))))))</f>
        <v/>
      </c>
    </row>
    <row r="499" customFormat="false" ht="15" hidden="false" customHeight="false" outlineLevel="0" collapsed="false">
      <c r="A499" s="18"/>
      <c r="B499" s="19"/>
      <c r="C499" s="20"/>
      <c r="D499" s="20"/>
      <c r="E499" s="19"/>
      <c r="F499" s="18"/>
      <c r="G499" s="21"/>
      <c r="H499" s="21"/>
      <c r="I499" s="18"/>
      <c r="J499" s="22"/>
      <c r="K499" s="23"/>
      <c r="L499" s="23"/>
      <c r="M499" s="24"/>
      <c r="N499" s="19"/>
      <c r="O499" s="25" t="str">
        <f aca="false">IF(OR(G499="",H499=""),"",H499-G499)</f>
        <v/>
      </c>
      <c r="P499" s="26" t="str">
        <f aca="false">IF(COUNTA(A499:N499)=0,"",IF(B499="","Falta el nombre",IF(C499="","Falta la cédula",IF(LEN(C499)&lt;&gt;10,"La cédula debe tener 10 dígitos",IF(F499="","Falta el tipo de plan",IF(G499="","Falta la fecha de inicio",IF(H499="","Falta la fecha de vencimiento",IF(O499&lt;=0,"El vencimiento debe ser posterior al inicio",IF(AND(F499&lt;&gt;"DIARIO",O499&lt;21),"Duración muy corta: revisar fechas",IF(O499&gt;400,"Duración mayor a 400 días: revisar fechas",IF(I499="","Falta la forma de pago",IF(L499="","Falta el monto cobrado","OK"))))))))))))</f>
        <v/>
      </c>
    </row>
    <row r="500" customFormat="false" ht="15" hidden="false" customHeight="false" outlineLevel="0" collapsed="false">
      <c r="A500" s="18"/>
      <c r="B500" s="19"/>
      <c r="C500" s="20"/>
      <c r="D500" s="20"/>
      <c r="E500" s="19"/>
      <c r="F500" s="18"/>
      <c r="G500" s="21"/>
      <c r="H500" s="21"/>
      <c r="I500" s="18"/>
      <c r="J500" s="22"/>
      <c r="K500" s="23"/>
      <c r="L500" s="23"/>
      <c r="M500" s="24"/>
      <c r="N500" s="19"/>
      <c r="O500" s="25" t="str">
        <f aca="false">IF(OR(G500="",H500=""),"",H500-G500)</f>
        <v/>
      </c>
      <c r="P500" s="26" t="str">
        <f aca="false">IF(COUNTA(A500:N500)=0,"",IF(B500="","Falta el nombre",IF(C500="","Falta la cédula",IF(LEN(C500)&lt;&gt;10,"La cédula debe tener 10 dígitos",IF(F500="","Falta el tipo de plan",IF(G500="","Falta la fecha de inicio",IF(H500="","Falta la fecha de vencimiento",IF(O500&lt;=0,"El vencimiento debe ser posterior al inicio",IF(AND(F500&lt;&gt;"DIARIO",O500&lt;21),"Duración muy corta: revisar fechas",IF(O500&gt;400,"Duración mayor a 400 días: revisar fechas",IF(I500="","Falta la forma de pago",IF(L500="","Falta el monto cobrado","OK"))))))))))))</f>
        <v/>
      </c>
    </row>
    <row r="501" customFormat="false" ht="15" hidden="false" customHeight="false" outlineLevel="0" collapsed="false">
      <c r="A501" s="18"/>
      <c r="B501" s="19"/>
      <c r="C501" s="20"/>
      <c r="D501" s="20"/>
      <c r="E501" s="19"/>
      <c r="F501" s="18"/>
      <c r="G501" s="21"/>
      <c r="H501" s="21"/>
      <c r="I501" s="18"/>
      <c r="J501" s="22"/>
      <c r="K501" s="23"/>
      <c r="L501" s="23"/>
      <c r="M501" s="24"/>
      <c r="N501" s="19"/>
      <c r="O501" s="25" t="str">
        <f aca="false">IF(OR(G501="",H501=""),"",H501-G501)</f>
        <v/>
      </c>
      <c r="P501" s="26" t="str">
        <f aca="false">IF(COUNTA(A501:N501)=0,"",IF(B501="","Falta el nombre",IF(C501="","Falta la cédula",IF(LEN(C501)&lt;&gt;10,"La cédula debe tener 10 dígitos",IF(F501="","Falta el tipo de plan",IF(G501="","Falta la fecha de inicio",IF(H501="","Falta la fecha de vencimiento",IF(O501&lt;=0,"El vencimiento debe ser posterior al inicio",IF(AND(F501&lt;&gt;"DIARIO",O501&lt;21),"Duración muy corta: revisar fechas",IF(O501&gt;400,"Duración mayor a 400 días: revisar fechas",IF(I501="","Falta la forma de pago",IF(L501="","Falta el monto cobrado","OK"))))))))))))</f>
        <v/>
      </c>
    </row>
  </sheetData>
  <autoFilter ref="A1:P501"/>
  <conditionalFormatting sqref="A2:P501">
    <cfRule type="expression" priority="2" aboveAverage="0" equalAverage="0" bottom="0" percent="0" rank="0" text="" dxfId="7">
      <formula>AND($P2&lt;&gt;"",$P2&lt;&gt;"OK")</formula>
    </cfRule>
  </conditionalFormatting>
  <conditionalFormatting sqref="P2:P501">
    <cfRule type="expression" priority="3" aboveAverage="0" equalAverage="0" bottom="0" percent="0" rank="0" text="" dxfId="8">
      <formula>$P2="OK"</formula>
    </cfRule>
  </conditionalFormatting>
  <dataValidations count="6">
    <dataValidation allowBlank="true" error="Elegir un valor de la lista (hoja Catalogos)." errorStyle="stop" errorTitle="Tipo de plan no válido" operator="between" prompt="Elegir de la lista desplegable." showDropDown="false" showErrorMessage="false" showInputMessage="false" sqref="F2:F501" type="list">
      <formula1>Catalogos!$A$5:$A$10</formula1>
      <formula2>0</formula2>
    </dataValidation>
    <dataValidation allowBlank="true" error="Elegir un valor de la lista (hoja Catalogos)." errorStyle="stop" errorTitle="Forma de pago no válida" operator="between" showDropDown="false" showErrorMessage="false" showInputMessage="false" sqref="I2:I501" type="list">
      <formula1>Catalogos!$A$14:$A$17</formula1>
      <formula2>0</formula2>
    </dataValidation>
    <dataValidation allowBlank="true" error="Elegir un valor de la lista (hoja Catalogos)." errorStyle="stop" errorTitle="Estado no válido" operator="between" showDropDown="false" showErrorMessage="false" showInputMessage="false" sqref="A2:A501" type="list">
      <formula1>Catalogos!$A$21:$A$25</formula1>
      <formula2>0</formula2>
    </dataValidation>
    <dataValidation allowBlank="true" error="Escribir una fecha válida, por ejemplo 20/08/2026." errorStyle="stop" errorTitle="Fecha no válida" operator="between" showDropDown="false" showErrorMessage="false" showInputMessage="false" sqref="G2:H501" type="date">
      <formula1>DATE(2024,1,1)</formula1>
      <formula2>DATE(2035,12,31)</formula2>
    </dataValidation>
    <dataValidation allowBlank="true" error="El monto debe ser un número mayor o igual a cero." errorStyle="stop" errorTitle="Monto no válido" operator="greaterThanOrEqual" showDropDown="false" showErrorMessage="false" showInputMessage="false" sqref="K2:L501" type="decimal">
      <formula1>0</formula1>
      <formula2>0</formula2>
    </dataValidation>
    <dataValidation allowBlank="true" error="Escribir un número entero de visitas." errorStyle="stop" errorTitle="Asistencias no válidas" operator="between" showDropDown="false" showErrorMessage="false" showInputMessage="false" sqref="M2:M501" type="whole">
      <formula1>0</formula1>
      <formula2>400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12" min="8" style="0" width="18"/>
    <col collapsed="false" customWidth="true" hidden="false" outlineLevel="0" max="13" min="13" style="0" width="20"/>
    <col collapsed="false" customWidth="true" hidden="false" outlineLevel="0" max="14" min="14" style="0" width="28"/>
    <col collapsed="false" customWidth="true" hidden="false" outlineLevel="0" max="15" min="15" style="0" width="14"/>
    <col collapsed="false" customWidth="true" hidden="false" outlineLevel="0" max="16" min="16" style="0" width="34"/>
  </cols>
  <sheetData>
    <row r="1" customFormat="false" ht="16.15" hidden="false" customHeight="false" outlineLevel="0" collapsed="false">
      <c r="A1" s="27" t="s">
        <v>48</v>
      </c>
    </row>
    <row r="2" customFormat="false" ht="15" hidden="false" customHeight="false" outlineLevel="0" collapsed="false">
      <c r="A2" s="28" t="s">
        <v>49</v>
      </c>
    </row>
    <row r="4" customFormat="false" ht="33.75" hidden="false" customHeight="true" outlineLevel="0" collapsed="false">
      <c r="A4" s="15" t="s">
        <v>32</v>
      </c>
      <c r="B4" s="16" t="s">
        <v>33</v>
      </c>
      <c r="C4" s="16" t="s">
        <v>34</v>
      </c>
      <c r="D4" s="15" t="s">
        <v>35</v>
      </c>
      <c r="E4" s="15" t="s">
        <v>36</v>
      </c>
      <c r="F4" s="16" t="s">
        <v>37</v>
      </c>
      <c r="G4" s="16" t="s">
        <v>38</v>
      </c>
      <c r="H4" s="16" t="s">
        <v>39</v>
      </c>
      <c r="I4" s="16" t="s">
        <v>40</v>
      </c>
      <c r="J4" s="15" t="s">
        <v>41</v>
      </c>
      <c r="K4" s="15" t="s">
        <v>42</v>
      </c>
      <c r="L4" s="16" t="s">
        <v>43</v>
      </c>
      <c r="M4" s="15" t="s">
        <v>44</v>
      </c>
      <c r="N4" s="15" t="s">
        <v>45</v>
      </c>
      <c r="O4" s="17" t="s">
        <v>46</v>
      </c>
      <c r="P4" s="17" t="s">
        <v>47</v>
      </c>
    </row>
    <row r="5" customFormat="false" ht="15" hidden="false" customHeight="false" outlineLevel="0" collapsed="false">
      <c r="A5" s="18" t="s">
        <v>50</v>
      </c>
      <c r="B5" s="19" t="s">
        <v>51</v>
      </c>
      <c r="C5" s="20" t="s">
        <v>52</v>
      </c>
      <c r="D5" s="20" t="s">
        <v>53</v>
      </c>
      <c r="E5" s="19" t="s">
        <v>54</v>
      </c>
      <c r="F5" s="18" t="s">
        <v>55</v>
      </c>
      <c r="G5" s="21" t="n">
        <v>46240</v>
      </c>
      <c r="H5" s="21" t="n">
        <v>46271</v>
      </c>
      <c r="I5" s="18" t="s">
        <v>56</v>
      </c>
      <c r="J5" s="22"/>
      <c r="K5" s="23" t="n">
        <v>39</v>
      </c>
      <c r="L5" s="23" t="n">
        <v>39</v>
      </c>
      <c r="M5" s="24" t="n">
        <v>11</v>
      </c>
      <c r="N5" s="19"/>
      <c r="O5" s="25" t="n">
        <f aca="false">H5-G5</f>
        <v>31</v>
      </c>
      <c r="P5" s="29" t="str">
        <f aca="false">"OK"</f>
        <v>OK</v>
      </c>
    </row>
    <row r="6" customFormat="false" ht="15" hidden="false" customHeight="false" outlineLevel="0" collapsed="false">
      <c r="A6" s="18" t="s">
        <v>57</v>
      </c>
      <c r="B6" s="19" t="s">
        <v>58</v>
      </c>
      <c r="C6" s="20" t="s">
        <v>59</v>
      </c>
      <c r="D6" s="20" t="s">
        <v>60</v>
      </c>
      <c r="E6" s="19" t="s">
        <v>61</v>
      </c>
      <c r="F6" s="18" t="s">
        <v>62</v>
      </c>
      <c r="G6" s="21" t="n">
        <v>46236</v>
      </c>
      <c r="H6" s="21" t="n">
        <v>46328</v>
      </c>
      <c r="I6" s="18" t="s">
        <v>63</v>
      </c>
      <c r="J6" s="22" t="s">
        <v>64</v>
      </c>
      <c r="K6" s="23" t="n">
        <v>90</v>
      </c>
      <c r="L6" s="23" t="n">
        <v>90</v>
      </c>
      <c r="M6" s="24" t="n">
        <v>26</v>
      </c>
      <c r="N6" s="19"/>
      <c r="O6" s="25" t="n">
        <f aca="false">H6-G6</f>
        <v>92</v>
      </c>
      <c r="P6" s="29" t="str">
        <f aca="false">"OK"</f>
        <v>OK</v>
      </c>
    </row>
    <row r="7" customFormat="false" ht="15" hidden="false" customHeight="false" outlineLevel="0" collapsed="false">
      <c r="A7" s="18" t="s">
        <v>65</v>
      </c>
      <c r="B7" s="19" t="s">
        <v>66</v>
      </c>
      <c r="C7" s="20" t="s">
        <v>67</v>
      </c>
      <c r="D7" s="20" t="s">
        <v>68</v>
      </c>
      <c r="E7" s="19" t="s">
        <v>69</v>
      </c>
      <c r="F7" s="18" t="s">
        <v>70</v>
      </c>
      <c r="G7" s="21" t="n">
        <v>46087</v>
      </c>
      <c r="H7" s="21" t="n">
        <v>46271</v>
      </c>
      <c r="I7" s="18" t="s">
        <v>71</v>
      </c>
      <c r="J7" s="22" t="s">
        <v>72</v>
      </c>
      <c r="K7" s="23" t="n">
        <v>225</v>
      </c>
      <c r="L7" s="23" t="n">
        <v>225</v>
      </c>
      <c r="M7" s="24" t="n">
        <v>48</v>
      </c>
      <c r="N7" s="19" t="s">
        <v>73</v>
      </c>
      <c r="O7" s="25" t="n">
        <f aca="false">H7-G7</f>
        <v>184</v>
      </c>
      <c r="P7" s="29" t="str">
        <f aca="false">"OK"</f>
        <v>OK</v>
      </c>
    </row>
    <row r="10" customFormat="false" ht="15" hidden="false" customHeight="false" outlineLevel="0" collapsed="false">
      <c r="A10" s="3" t="s">
        <v>74</v>
      </c>
    </row>
    <row r="11" customFormat="false" ht="25.5" hidden="false" customHeight="true" outlineLevel="0" collapsed="false">
      <c r="A11" s="4" t="s">
        <v>75</v>
      </c>
      <c r="B11" s="4"/>
      <c r="C11" s="4"/>
      <c r="D11" s="4"/>
      <c r="E11" s="4"/>
      <c r="F11" s="4"/>
    </row>
    <row r="12" customFormat="false" ht="25.5" hidden="false" customHeight="true" outlineLevel="0" collapsed="false">
      <c r="A12" s="4" t="s">
        <v>76</v>
      </c>
      <c r="B12" s="4"/>
      <c r="C12" s="4"/>
      <c r="D12" s="4"/>
      <c r="E12" s="4"/>
      <c r="F12" s="4"/>
    </row>
    <row r="13" customFormat="false" ht="25.5" hidden="false" customHeight="true" outlineLevel="0" collapsed="false">
      <c r="A13" s="4" t="s">
        <v>77</v>
      </c>
      <c r="B13" s="4"/>
      <c r="C13" s="4"/>
      <c r="D13" s="4"/>
      <c r="E13" s="4"/>
      <c r="F13" s="4"/>
    </row>
  </sheetData>
  <mergeCells count="3">
    <mergeCell ref="A11:F11"/>
    <mergeCell ref="A12:F12"/>
    <mergeCell ref="A13:F1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48"/>
  </cols>
  <sheetData>
    <row r="1" customFormat="false" ht="16.15" hidden="false" customHeight="false" outlineLevel="0" collapsed="false">
      <c r="A1" s="27" t="s">
        <v>78</v>
      </c>
    </row>
    <row r="2" customFormat="false" ht="15" hidden="false" customHeight="false" outlineLevel="0" collapsed="false">
      <c r="A2" s="28" t="s">
        <v>79</v>
      </c>
    </row>
    <row r="4" customFormat="false" ht="23.85" hidden="false" customHeight="false" outlineLevel="0" collapsed="false">
      <c r="A4" s="30" t="s">
        <v>37</v>
      </c>
      <c r="B4" s="30" t="s">
        <v>80</v>
      </c>
      <c r="C4" s="31" t="s">
        <v>81</v>
      </c>
      <c r="E4" s="32" t="s">
        <v>82</v>
      </c>
      <c r="F4" s="32" t="s">
        <v>83</v>
      </c>
    </row>
    <row r="5" customFormat="false" ht="23.85" hidden="false" customHeight="false" outlineLevel="0" collapsed="false">
      <c r="A5" s="33" t="s">
        <v>55</v>
      </c>
      <c r="B5" s="34" t="s">
        <v>84</v>
      </c>
      <c r="C5" s="35" t="n">
        <v>30</v>
      </c>
      <c r="E5" s="33" t="s">
        <v>55</v>
      </c>
      <c r="F5" s="36" t="s">
        <v>85</v>
      </c>
    </row>
    <row r="6" customFormat="false" ht="15" hidden="false" customHeight="false" outlineLevel="0" collapsed="false">
      <c r="A6" s="33" t="s">
        <v>62</v>
      </c>
      <c r="B6" s="34" t="s">
        <v>86</v>
      </c>
      <c r="C6" s="35" t="n">
        <v>90</v>
      </c>
      <c r="E6" s="33" t="s">
        <v>62</v>
      </c>
      <c r="F6" s="36" t="s">
        <v>87</v>
      </c>
    </row>
    <row r="7" customFormat="false" ht="23.85" hidden="false" customHeight="false" outlineLevel="0" collapsed="false">
      <c r="A7" s="33" t="s">
        <v>70</v>
      </c>
      <c r="B7" s="34" t="s">
        <v>88</v>
      </c>
      <c r="C7" s="35" t="n">
        <v>180</v>
      </c>
      <c r="E7" s="33" t="s">
        <v>70</v>
      </c>
      <c r="F7" s="36" t="s">
        <v>89</v>
      </c>
    </row>
    <row r="8" customFormat="false" ht="15" hidden="false" customHeight="false" outlineLevel="0" collapsed="false">
      <c r="A8" s="33" t="s">
        <v>90</v>
      </c>
      <c r="B8" s="34" t="s">
        <v>91</v>
      </c>
      <c r="C8" s="35" t="n">
        <v>365</v>
      </c>
      <c r="E8" s="33" t="s">
        <v>90</v>
      </c>
      <c r="F8" s="36" t="s">
        <v>92</v>
      </c>
    </row>
    <row r="9" customFormat="false" ht="23.85" hidden="false" customHeight="false" outlineLevel="0" collapsed="false">
      <c r="A9" s="33" t="s">
        <v>93</v>
      </c>
      <c r="B9" s="34" t="s">
        <v>94</v>
      </c>
      <c r="C9" s="35" t="n">
        <v>1</v>
      </c>
      <c r="E9" s="33" t="s">
        <v>93</v>
      </c>
      <c r="F9" s="36" t="s">
        <v>95</v>
      </c>
    </row>
    <row r="10" customFormat="false" ht="15" hidden="false" customHeight="false" outlineLevel="0" collapsed="false">
      <c r="A10" s="33" t="s">
        <v>96</v>
      </c>
      <c r="B10" s="34" t="s">
        <v>97</v>
      </c>
      <c r="C10" s="35" t="n">
        <v>30</v>
      </c>
      <c r="E10" s="33" t="s">
        <v>63</v>
      </c>
      <c r="F10" s="36" t="s">
        <v>98</v>
      </c>
    </row>
    <row r="11" customFormat="false" ht="15" hidden="false" customHeight="false" outlineLevel="0" collapsed="false">
      <c r="E11" s="33" t="s">
        <v>71</v>
      </c>
      <c r="F11" s="36" t="s">
        <v>99</v>
      </c>
    </row>
    <row r="13" customFormat="false" ht="15" hidden="false" customHeight="false" outlineLevel="0" collapsed="false">
      <c r="A13" s="30" t="s">
        <v>40</v>
      </c>
      <c r="B13" s="30" t="s">
        <v>80</v>
      </c>
    </row>
    <row r="14" customFormat="false" ht="15" hidden="false" customHeight="true" outlineLevel="0" collapsed="false">
      <c r="A14" s="33" t="s">
        <v>56</v>
      </c>
      <c r="B14" s="34" t="s">
        <v>100</v>
      </c>
      <c r="E14" s="37" t="s">
        <v>101</v>
      </c>
      <c r="F14" s="37"/>
    </row>
    <row r="15" customFormat="false" ht="15" hidden="false" customHeight="false" outlineLevel="0" collapsed="false">
      <c r="A15" s="33" t="s">
        <v>63</v>
      </c>
      <c r="B15" s="34" t="s">
        <v>102</v>
      </c>
      <c r="E15" s="37"/>
      <c r="F15" s="37"/>
    </row>
    <row r="16" customFormat="false" ht="15" hidden="false" customHeight="false" outlineLevel="0" collapsed="false">
      <c r="A16" s="33" t="s">
        <v>71</v>
      </c>
      <c r="B16" s="34" t="s">
        <v>103</v>
      </c>
      <c r="E16" s="37"/>
      <c r="F16" s="37"/>
    </row>
    <row r="17" customFormat="false" ht="15" hidden="false" customHeight="false" outlineLevel="0" collapsed="false">
      <c r="A17" s="33" t="s">
        <v>96</v>
      </c>
      <c r="B17" s="34" t="s">
        <v>104</v>
      </c>
    </row>
    <row r="20" customFormat="false" ht="15" hidden="false" customHeight="false" outlineLevel="0" collapsed="false">
      <c r="A20" s="38" t="s">
        <v>32</v>
      </c>
      <c r="B20" s="38" t="s">
        <v>80</v>
      </c>
    </row>
    <row r="21" customFormat="false" ht="15" hidden="false" customHeight="false" outlineLevel="0" collapsed="false">
      <c r="A21" s="33" t="s">
        <v>50</v>
      </c>
      <c r="B21" s="34" t="s">
        <v>105</v>
      </c>
    </row>
    <row r="22" customFormat="false" ht="15" hidden="false" customHeight="false" outlineLevel="0" collapsed="false">
      <c r="A22" s="33" t="s">
        <v>57</v>
      </c>
      <c r="B22" s="34" t="s">
        <v>106</v>
      </c>
    </row>
    <row r="23" customFormat="false" ht="23.85" hidden="false" customHeight="false" outlineLevel="0" collapsed="false">
      <c r="A23" s="33" t="s">
        <v>65</v>
      </c>
      <c r="B23" s="34" t="s">
        <v>107</v>
      </c>
    </row>
    <row r="24" customFormat="false" ht="23.85" hidden="false" customHeight="false" outlineLevel="0" collapsed="false">
      <c r="A24" s="33" t="s">
        <v>108</v>
      </c>
      <c r="B24" s="34" t="s">
        <v>109</v>
      </c>
    </row>
    <row r="25" customFormat="false" ht="15" hidden="false" customHeight="false" outlineLevel="0" collapsed="false">
      <c r="A25" s="33" t="s">
        <v>110</v>
      </c>
      <c r="B25" s="34" t="s">
        <v>111</v>
      </c>
    </row>
  </sheetData>
  <mergeCells count="1">
    <mergeCell ref="E14:F1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2026-09-29T00:38:33Z</dcterms:created>
  <dc:creator>openpyxl</dc:creator>
  <dc:description/>
  <dc:language>en-US</dc:language>
  <cp:lastModifiedBy/>
  <dcterms:modified xsi:type="dcterms:W3CDTF">2026-09-29T00:38:34Z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ude.handoff">
    <vt:lpwstr>n1mC9DlwcExaFz3M9tuiywIZhGtTvMUZZAbeSwcdDeI</vt:lpwstr>
  </property>
</Properties>
</file>